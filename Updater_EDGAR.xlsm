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1" codeName="{F4499BBC-C50B-8ECA-441A-04C5B9BE717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henrychien/Documents/Jupyter/Edgar_updater/"/>
    </mc:Choice>
  </mc:AlternateContent>
  <xr:revisionPtr revIDLastSave="0" documentId="13_ncr:1_{C9B43AD8-ED95-9143-946E-439E34D3D2E5}" xr6:coauthVersionLast="47" xr6:coauthVersionMax="47" xr10:uidLastSave="{00000000-0000-0000-0000-000000000000}"/>
  <bookViews>
    <workbookView xWindow="36540" yWindow="860" windowWidth="31640" windowHeight="26760" tabRatio="882" xr2:uid="{00000000-000D-0000-FFFF-FFFF00000000}"/>
  </bookViews>
  <sheets>
    <sheet name="Raw_data" sheetId="1" r:id="rId1"/>
    <sheet name="Readme" sheetId="2" r:id="rId2"/>
    <sheet name="Source" sheetId="3" r:id="rId3"/>
  </sheets>
  <definedNames>
    <definedName name="_xleta.IF" hidden="1" xlm="1">#NAME?</definedName>
    <definedName name="_xleta.ISNUMBER" hidden="1" xlm="1">#NAME?</definedName>
    <definedName name="IQ_CH">110000</definedName>
    <definedName name="IQ_CQ">5000</definedName>
    <definedName name="IQ_CY">10000</definedName>
    <definedName name="IQ_DAILY">500000</definedName>
    <definedName name="IQ_FH">100000</definedName>
    <definedName name="IQ_FQ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>1000</definedName>
    <definedName name="IQ_LATESTK" hidden="1">1000</definedName>
    <definedName name="IQ_LATESTQ" hidden="1">500</definedName>
    <definedName name="IQ_LTM">2000</definedName>
    <definedName name="IQ_LTMMONTH" hidden="1">120000</definedName>
    <definedName name="IQ_MONTH">15000</definedName>
    <definedName name="IQ_NTM">6000</definedName>
    <definedName name="IQ_TODAY" hidden="1">0</definedName>
    <definedName name="IQ_WEEK">50000</definedName>
    <definedName name="IQ_YTD">3000</definedName>
    <definedName name="IQ_YTDMONTH" hidden="1">130000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6" i="3" l="1"/>
  <c r="F284" i="1" l="1"/>
  <c r="G21" i="1"/>
</calcChain>
</file>

<file path=xl/sharedStrings.xml><?xml version="1.0" encoding="utf-8"?>
<sst xmlns="http://schemas.openxmlformats.org/spreadsheetml/2006/main" count="512" uniqueCount="248">
  <si>
    <t>Tag</t>
  </si>
  <si>
    <t>Current Period</t>
  </si>
  <si>
    <t>Prior Year Period</t>
  </si>
  <si>
    <t>Presentation Role</t>
  </si>
  <si>
    <t>Collision Flag</t>
  </si>
  <si>
    <t>Ticker</t>
  </si>
  <si>
    <t>Year</t>
  </si>
  <si>
    <t>Quarter</t>
  </si>
  <si>
    <t>Full Year Mode</t>
  </si>
  <si>
    <t>us-gaap:StockholdersEquity</t>
  </si>
  <si>
    <t>Conversion factor</t>
  </si>
  <si>
    <t>us-gaap:CashCashEquivalentsRestrictedCashAndRestrictedCashEquivalentsPeriodIncreaseDecreaseIncludingExchangeRateEffect</t>
  </si>
  <si>
    <t>us-gaap:InterestPaidNet</t>
  </si>
  <si>
    <t>us-gaap:NetCashProvidedByUsedInFinancingActivities</t>
  </si>
  <si>
    <t>us-gaap:NetCashProvidedByUsedInInvestingActivities</t>
  </si>
  <si>
    <t>us-gaap:NetCashProvidedByUsedInOperatingActivities</t>
  </si>
  <si>
    <t>us-gaap:OtherNoncashIncomeExpense</t>
  </si>
  <si>
    <t>us-gaap:PaymentsForProceedsFromOtherInvestingActivities</t>
  </si>
  <si>
    <t>us-gaap:AmortizationOfIntangibleAssets</t>
  </si>
  <si>
    <t>us-gaap:AccountsPayableCurrent</t>
  </si>
  <si>
    <t>us-gaap:Assets</t>
  </si>
  <si>
    <t>us-gaap:AssetsCurrent</t>
  </si>
  <si>
    <t>us-gaap:DeferredIncomeTaxLiabilitiesNet</t>
  </si>
  <si>
    <t>us-gaap:EmployeeRelatedLiabilitiesCurrent</t>
  </si>
  <si>
    <t>us-gaap:Goodwill</t>
  </si>
  <si>
    <t>us-gaap:LiabilitiesCurrent</t>
  </si>
  <si>
    <t>us-gaap:OperatingLeaseLiabilityNoncurrent</t>
  </si>
  <si>
    <t>us-gaap:OperatingLeaseRightOfUseAsset</t>
  </si>
  <si>
    <t>us-gaap:CommonStockParOrStatedValuePerShare</t>
  </si>
  <si>
    <t>us-gaap:PropertyPlantAndEquipmentNet</t>
  </si>
  <si>
    <t>us-gaap:OtherLiabilitiesNoncurrent</t>
  </si>
  <si>
    <t>us-gaap:EffectiveIncomeTaxRateContinuingOperations</t>
  </si>
  <si>
    <t>us-gaap:EarningsPerShareBasic</t>
  </si>
  <si>
    <t>us-gaap:EarningsPerShareDiluted</t>
  </si>
  <si>
    <t>us-gaap:WeightedAverageNumberOfDilutedSharesOutstanding</t>
  </si>
  <si>
    <t>us-gaap:WeightedAverageNumberOfSharesOutstandingBasic</t>
  </si>
  <si>
    <t>us-gaap:RevenueFromContractWithCustomerExcludingAssessedTax</t>
  </si>
  <si>
    <t>us-gaap:GeneralAndAdministrativeExpense</t>
  </si>
  <si>
    <t>us-gaap:OperatingIncomeLoss</t>
  </si>
  <si>
    <t>us-gaap:IncomeLossFromContinuingOperationsBeforeIncomeTaxesExtraordinaryItemsNoncontrollingInterest</t>
  </si>
  <si>
    <t>us-gaap:ContractWithCustomerLiabilityCurrent</t>
  </si>
  <si>
    <t>us-gaap:ComprehensiveIncomeNetOfTax</t>
  </si>
  <si>
    <t>us-gaap:OtherComprehensiveIncomeLossNetOfTaxPortionAttributableToParent</t>
  </si>
  <si>
    <t>us-gaap:IncomeTaxExpenseBenefit</t>
  </si>
  <si>
    <t>MACRO NOTES:</t>
  </si>
  <si>
    <t>Financial Model Updater</t>
  </si>
  <si>
    <t>public</t>
  </si>
  <si>
    <t>us-gaap:IncomeTaxesPaidNet</t>
  </si>
  <si>
    <t>us-gaap:IncreaseDecreaseInAccountsReceivable</t>
  </si>
  <si>
    <t>us-gaap:IncreaseDecreaseInContractWithCustomerLiability</t>
  </si>
  <si>
    <t>us-gaap:PaymentsToAcquirePropertyPlantAndEquipment</t>
  </si>
  <si>
    <t>us-gaap:AccumulatedOtherComprehensiveIncomeLossNetOfTax</t>
  </si>
  <si>
    <t>us-gaap:CommonStockValue</t>
  </si>
  <si>
    <t>us-gaap:DeferredIncomeTaxAssetsNet</t>
  </si>
  <si>
    <t>us-gaap:Liabilities</t>
  </si>
  <si>
    <t>us-gaap:OtherAccruedLiabilitiesCurrent</t>
  </si>
  <si>
    <t>us-gaap:PrepaidExpenseAndOtherAssetsCurrent</t>
  </si>
  <si>
    <t>us-gaap:RetainedEarningsAccumulatedDeficit</t>
  </si>
  <si>
    <t>us-gaap:CommonStockSharesAuthorized</t>
  </si>
  <si>
    <t>us-gaap:PreferredStockSharesAuthorized</t>
  </si>
  <si>
    <t>us-gaap:CommonStockSharesIssued</t>
  </si>
  <si>
    <t>us-gaap:FiniteLivedIntangibleAssetsNet</t>
  </si>
  <si>
    <t>us-gaap:ResearchAndDevelopmentExpense</t>
  </si>
  <si>
    <t>us-gaap:SellingAndMarketingExpense</t>
  </si>
  <si>
    <t>us-gaap:NonoperatingIncomeExpense</t>
  </si>
  <si>
    <t>us-gaap:FiniteLivedIntangibleAssetsAccumulatedAmortization</t>
  </si>
  <si>
    <t>us-gaap:FiniteLivedIntangibleAssetsGross</t>
  </si>
  <si>
    <t>us-gaap:LeaseCost</t>
  </si>
  <si>
    <t>us-gaap:OperatingLeaseCost</t>
  </si>
  <si>
    <t>us-gaap:ShortTermLeaseCost</t>
  </si>
  <si>
    <t>us-gaap:VariableLeaseCost</t>
  </si>
  <si>
    <t>us-gaap:RightOfUseAssetObtainedInExchangeForOperatingLeaseLiability</t>
  </si>
  <si>
    <t>us-gaap:OperatingLeaseWeightedAverageDiscountRatePercent</t>
  </si>
  <si>
    <t>us-gaap:OperatingLeaseWeightedAverageRemainingLeaseTerm1</t>
  </si>
  <si>
    <t>API Key:</t>
  </si>
  <si>
    <r>
      <t>Configuration Settings</t>
    </r>
    <r>
      <rPr>
        <i/>
        <u/>
        <sz val="11"/>
        <color theme="1"/>
        <rFont val="Calibri"/>
        <family val="2"/>
        <scheme val="minor"/>
      </rPr>
      <t xml:space="preserve"> - don't move these cells</t>
    </r>
  </si>
  <si>
    <t>Downloads Folder:</t>
  </si>
  <si>
    <t>&gt;&gt;&gt;</t>
  </si>
  <si>
    <t>Show Alerts:</t>
  </si>
  <si>
    <t>MSCI</t>
  </si>
  <si>
    <t>msci:IncreaseDecreaseInLongTermOperatingLeaseLiabilities</t>
  </si>
  <si>
    <t>us-gaap:AmortizationOfFinancingCosts</t>
  </si>
  <si>
    <t>us-gaap:CapitalExpendituresIncurredButNotYetPaid</t>
  </si>
  <si>
    <t>us-gaap:EffectOfExchangeRateOnCashCashEquivalentsRestrictedCashAndRestrictedCashEquivalentsIncludingDisposalGroupAndDiscontinuedOperations</t>
  </si>
  <si>
    <t>us-gaap:IncreaseDecreaseInAccountsPayable</t>
  </si>
  <si>
    <t>us-gaap:IncreaseDecreaseInAccruedIncomeTaxesPayable</t>
  </si>
  <si>
    <t>us-gaap:IncreaseDecreaseInEmployeeRelatedLiabilities</t>
  </si>
  <si>
    <t>us-gaap:IncreaseDecreaseInOtherAccruedLiabilities</t>
  </si>
  <si>
    <t>us-gaap:IncreaseDecreaseInOtherNoncurrentAssets</t>
  </si>
  <si>
    <t>us-gaap:IncreaseDecreaseInOtherNoncurrentLiabilities</t>
  </si>
  <si>
    <t>us-gaap:IncreaseDecreaseInPrepaidDeferredExpenseAndOtherAssets</t>
  </si>
  <si>
    <t>us-gaap:IncreaseDecreaseInPrepaidTaxes</t>
  </si>
  <si>
    <t>us-gaap:OperatingLeaseRightOfUseAssetAmortizationExpense</t>
  </si>
  <si>
    <t>us-gaap:PaymentsForRepurchaseOfCommonStock</t>
  </si>
  <si>
    <t>us-gaap:PaymentsForSoftware</t>
  </si>
  <si>
    <t>us-gaap:PaymentsOfDividendsCommonStock</t>
  </si>
  <si>
    <t>us-gaap:RepaymentsOfDebt</t>
  </si>
  <si>
    <t>us-gaap:ShareBasedCompensation</t>
  </si>
  <si>
    <t>us-gaap:OtherComprehensiveIncomeDefinedBenefitPlansAdjustmentBeforeTaxPortionAttributableToParent</t>
  </si>
  <si>
    <t>us-gaap:OtherComprehensiveIncomeDefinedBenefitPlansAdjustmentNetOfTaxPortionAttributableToParent</t>
  </si>
  <si>
    <t>us-gaap:OtherComprehensiveIncomeDefinedBenefitPlansTaxPortionAttributableToParent</t>
  </si>
  <si>
    <t>us-gaap:OtherComprehensiveIncomeForeignCurrencyTransactionAndTranslationAdjustmentBeforeTaxPortionAttributableToParent</t>
  </si>
  <si>
    <t>us-gaap:OtherComprehensiveIncomeForeignCurrencyTransactionAndTranslationAdjustmentNetOfTaxPortionAttributableToParent</t>
  </si>
  <si>
    <t>us-gaap:OtherComprehensiveIncomeForeignCurrencyTranslationAdjustmentTaxPortionAttributableToParent</t>
  </si>
  <si>
    <t>us-gaap:AccruedIncomeTaxesCurrent</t>
  </si>
  <si>
    <t>us-gaap:AdditionalPaidInCapitalCommonStock</t>
  </si>
  <si>
    <t>us-gaap:LongTermDebtNoncurrent</t>
  </si>
  <si>
    <t>us-gaap:OtherAssetsNoncurrent</t>
  </si>
  <si>
    <t>us-gaap:PrepaidTaxes</t>
  </si>
  <si>
    <t>us-gaap:TreasuryStockCommonValue</t>
  </si>
  <si>
    <t>us-gaap:RestrictedCashCurrent</t>
  </si>
  <si>
    <t>us-gaap:AllowanceForDoubtfulAccountsReceivableCurrent</t>
  </si>
  <si>
    <t>us-gaap:CommonStockSharesOutstanding</t>
  </si>
  <si>
    <t>us-gaap:TreasuryStockCommonShares</t>
  </si>
  <si>
    <t>us-gaap:AccountsReceivableNet</t>
  </si>
  <si>
    <t>us-gaap:CostOfGoodsAndServiceExcludingDepreciationDepletionAndAmortization</t>
  </si>
  <si>
    <t>us-gaap:CostsAndExpenses</t>
  </si>
  <si>
    <t>us-gaap:InterestExpenseNonoperating</t>
  </si>
  <si>
    <t>us-gaap:InvestmentIncomeInterest</t>
  </si>
  <si>
    <t>us-gaap:OtherNonoperatingIncomeExpense</t>
  </si>
  <si>
    <t>us-gaap:CommonStockDividendsPerShareDeclared</t>
  </si>
  <si>
    <t>us-gaap:DebtInstrumentFairValue</t>
  </si>
  <si>
    <t>earningspercommonsharedetails</t>
  </si>
  <si>
    <t>us-gaap:ConcentrationRiskPercentage1</t>
  </si>
  <si>
    <t>introductionandbasisofpresentationnarrativedetails</t>
  </si>
  <si>
    <t>leasesleasecostdetails</t>
  </si>
  <si>
    <t>us-gaap:SubleaseIncome</t>
  </si>
  <si>
    <t>us-gaap:OperatingLeasePayments</t>
  </si>
  <si>
    <t>us-gaap:ContractWithCustomerLiabilityNoncurrent</t>
  </si>
  <si>
    <t>revenuerecognitionnarrativedetails</t>
  </si>
  <si>
    <t>us-gaap:ContractWithCustomerLiabilityRevenueRecognized</t>
  </si>
  <si>
    <t>msci:AccountsReceivableIncreaseDecrease</t>
  </si>
  <si>
    <t>msci:IncreaseDecreaseInContractWithCustomerLiabilityCurrent</t>
  </si>
  <si>
    <t>us-gaap:NoncurrentAssets</t>
  </si>
  <si>
    <t>segmentinformationscheduleofsegmentprofitabilityandreconciliationtonetincomedetail</t>
  </si>
  <si>
    <t>msci:OperatingSegmentProfitability</t>
  </si>
  <si>
    <t>us-gaap:DividendsCommonStock</t>
  </si>
  <si>
    <r>
      <rPr>
        <b/>
        <sz val="11"/>
        <color theme="1"/>
        <rFont val="Calibri"/>
        <family val="2"/>
        <scheme val="minor"/>
      </rPr>
      <t xml:space="preserve">Collision Rate </t>
    </r>
    <r>
      <rPr>
        <sz val="11"/>
        <color theme="1"/>
        <rFont val="Calibri"/>
        <family val="2"/>
        <scheme val="minor"/>
      </rPr>
      <t>- % of values flagged for review</t>
    </r>
  </si>
  <si>
    <t xml:space="preserve">  Tip: Right-click &gt; Properties &gt; Location (copy and paste full path) </t>
  </si>
  <si>
    <t>IF NO MACRO FOUND:</t>
  </si>
  <si>
    <t>Right-click the .xlsm file &gt; Properties &gt; Unblock &gt; Open</t>
  </si>
  <si>
    <t>Extract file from zip file.</t>
  </si>
  <si>
    <t>• Macro skips "1" values to preserve formulas like (x/y - 1)</t>
  </si>
  <si>
    <t>• Avoid overwriting cells with hardcoded constants (e.g., /365)</t>
  </si>
  <si>
    <t>• If no match, macro inserts "0" to preserve structure</t>
  </si>
  <si>
    <t>Use public or register for your personal API key</t>
  </si>
  <si>
    <t>If model shows "4.296" but filings show "4,293", use 1000. If none, use =1</t>
  </si>
  <si>
    <t>Ambiguous matches from restatements, tagging changes, etc.</t>
  </si>
  <si>
    <t>Set to "FALSE" to suppress pop-ups</t>
  </si>
  <si>
    <t>Paste full path (i.e. /Users/henrychien/downloads)</t>
  </si>
  <si>
    <t>Copyright © 2025 Henry Chien LLC - All rights reserved</t>
  </si>
  <si>
    <t>henrychien.com</t>
  </si>
  <si>
    <t>revenuerecognitionscheduleofchangeinaccountsreceivableanddeferredrevenuedetail</t>
  </si>
  <si>
    <t>msci:BusinessCombinationIntegrationRelatedCostsAndTransactionCosts</t>
  </si>
  <si>
    <t>consolidatedstatementsofcashflows</t>
  </si>
  <si>
    <t>consolidatedstatementsofcashflows|consolidatedstatementsofincome|goodwillandintangibleassetsnetnarrativedetails|goodwillandintangibleassetsnetscheduleofamortizationexpenserelatedtointangibleassetsbycategorydetail|segmentinformationscheduleofsegmentprofitabilityandreconciliationtonetincomedetail</t>
  </si>
  <si>
    <t>consolidatedstatementsofshareholdersequitydeficitparenthetical|shareholdersequitydeficitscheduleofcashdividendsdeclaredanddistributedpercommonsharedetail|subsequenteventsdetail</t>
  </si>
  <si>
    <t>consolidatedstatementsofcomprehensiveincome</t>
  </si>
  <si>
    <t>consolidatedstatementsofincome</t>
  </si>
  <si>
    <t>us-gaap:DeferredIncomeTaxExpenseBenefit</t>
  </si>
  <si>
    <t>incometaxessummaryofprovisionforincometaxesbenefitsbytaxingjurisdictiondetail</t>
  </si>
  <si>
    <t>us-gaap:Depreciation</t>
  </si>
  <si>
    <t>consolidatedstatementsofincome|propertyequipmentandleaseholdimprovementsnetnarrativedetails|segmentinformationscheduleofsegmentprofitabilityandreconciliationtonetincomedetail</t>
  </si>
  <si>
    <t>shareholdersequitydeficitscheduleofcashdividendsdeclaredanddistributedpercommonsharedetail</t>
  </si>
  <si>
    <t>us-gaap:DividendsCommonStockCash</t>
  </si>
  <si>
    <t>consolidatedstatementsofincome|earningspercommonsharedetails</t>
  </si>
  <si>
    <t>incometaxesreconciliationofusfederalstatutoryincometaxratetotheeffectivetaxratedetail</t>
  </si>
  <si>
    <t>consolidatedstatementsofincome|incometaxessummaryofcomponentsofincomebeforeprovisionforincometaxesdetail|segmentinformationscheduleofsegmentprofitabilityandreconciliationtonetincomedetail</t>
  </si>
  <si>
    <t>consolidatedstatementsofincome|incometaxessummaryofprovisionforincometaxesbenefitsbytaxingjurisdictiondetail|segmentinformationscheduleofsegmentprofitabilityandreconciliationtonetincomedetail</t>
  </si>
  <si>
    <t>us-gaap:IncreaseDecreaseInOtherOperatingCapitalNet</t>
  </si>
  <si>
    <t>us-gaap:IncrementalCommonSharesAttributableToShareBasedPaymentArrangements</t>
  </si>
  <si>
    <t>us-gaap:NetIncomeLoss</t>
  </si>
  <si>
    <t>consolidatedstatementsofcomprehensiveincome|consolidatedstatementsofincome|consolidatedstatementsofshareholdersequitydeficit|earningspercommonsharedetails|pvpdisclosure|segmentinformationscheduleofsegmentprofitabilityandreconciliationtonetincomedetail</t>
  </si>
  <si>
    <t>consolidatedstatementsofincome|segmentinformationscheduleofsegmentprofitabilityandreconciliationtonetincomedetail</t>
  </si>
  <si>
    <t>leasesscheduleofotherinformationunderoperatingleasedetail</t>
  </si>
  <si>
    <t>consolidatedstatementsofcomprehensiveincome|consolidatedstatementsofshareholdersequitydeficit</t>
  </si>
  <si>
    <t>consolidatedstatementsofincome|revenuerecognitionscheduleofdisaggregationofoperatingrevenuedetail|segmentinformationscheduleofoperatingrevenuesbygeographicareadetails|segmentinformationscheduleofsegmentprofitabilityandreconciliationtonetincomedetail</t>
  </si>
  <si>
    <t>us-gaap:TreasuryStockAcquiredAverageCostPerShare</t>
  </si>
  <si>
    <t>shareholdersequitydeficitscheduleofcompanyscommonstockrepurchasesmadeonopenmarketdetail</t>
  </si>
  <si>
    <t>us-gaap:TreasuryStockSharesAcquired</t>
  </si>
  <si>
    <t>shareholdersequitydeficitscheduleofcompanyscommonstockrepurchasesmadeonopenmarketdetail|shareholdersequitydeficitsummaryofactivityrelatedtosharesofcommonstockissuedandrepurchaseddetail</t>
  </si>
  <si>
    <t>us-gaap:TreasuryStockValueAcquiredCostMethod</t>
  </si>
  <si>
    <t>consolidatedstatementsofshareholdersequitydeficit|shareholdersequitydeficitscheduleofcompanyscommonstockrepurchasesmadeonopenmarketdetail</t>
  </si>
  <si>
    <t>msci:DeferredTaxAssetsCapitalizedCost</t>
  </si>
  <si>
    <t>incometaxessignificantcomponentsofdeferredtaxassetsandliabilitiesdetail</t>
  </si>
  <si>
    <t>msci:DeferredTaxAssetsLeaseLiabilities</t>
  </si>
  <si>
    <t>msci:DeferredTaxLiabilitiesPropertyEquipmentAndLeaseholdImprovementsNet</t>
  </si>
  <si>
    <t>msci:DefinedBenefitPlanMinimumInvestmentReturnRate</t>
  </si>
  <si>
    <t>employeebenefitsnarrativedetails</t>
  </si>
  <si>
    <t>msci:OperatingLossCarryforwardsTaxValue</t>
  </si>
  <si>
    <t>incometaxesnarrativedetails</t>
  </si>
  <si>
    <t>msci:ShareBasedCompensationArrangementByShareBasedPaymentAwardEquityInstrumentsOtherThanOptionsVestedAndUnvestedNumber</t>
  </si>
  <si>
    <t>shareholdersequitydeficitsummaryofvestedandunvestedsharebasedawardsactivitydetail</t>
  </si>
  <si>
    <t>msci:ShareBasedCompensationArrangementByShareBasedPaymentAwardEquityInstrumentsOtherThanOptionsVestedAndUnvestedWeightedAverageGrantDateFairValue</t>
  </si>
  <si>
    <t>consolidatedstatementsoffinancialcondition</t>
  </si>
  <si>
    <t>consolidatedstatementsoffinancialcondition|revenuerecognitionscheduleofchangeinaccountsreceivableanddeferredrevenuedetail</t>
  </si>
  <si>
    <t>us-gaap:AccumulatedDepreciationDepletionAndAmortizationPropertyPlantAndEquipment</t>
  </si>
  <si>
    <t>propertyequipmentandleaseholdimprovementsnetscheduleofpropertyequipmentandleaseholdimprovementsnetdetail</t>
  </si>
  <si>
    <t>consolidatedstatementsoffinancialconditionparenthetical|introductionandbasisofpresentationscheduleofchangesinallowancefordoubtfulaccountsdetail</t>
  </si>
  <si>
    <t>us-gaap:CashAndCashEquivalentsAtCarryingValue</t>
  </si>
  <si>
    <t>consolidatedstatementsoffinancialconditionparenthetical</t>
  </si>
  <si>
    <t>consolidatedstatementsoffinancialconditionparenthetical|shareholdersequitydeficitsummaryofactivityrelatedtosharesofcommonstockissuedandrepurchaseddetail</t>
  </si>
  <si>
    <t>us-gaap:ConstructionInProgressGross</t>
  </si>
  <si>
    <t>debtscheduleofseniorunsecurednotesdetail</t>
  </si>
  <si>
    <t>us-gaap:DeferredIncomeTaxLiabilities</t>
  </si>
  <si>
    <t>us-gaap:DeferredTaxAssetInterestCarryforward</t>
  </si>
  <si>
    <t>us-gaap:DeferredTaxAssetsDeferredIncome</t>
  </si>
  <si>
    <t>us-gaap:DeferredTaxAssetsGoodwillAndIntangibleAssets</t>
  </si>
  <si>
    <t>us-gaap:DeferredTaxAssetsGross</t>
  </si>
  <si>
    <t>us-gaap:DeferredTaxAssetsNet</t>
  </si>
  <si>
    <t>us-gaap:DeferredTaxAssetsOperatingLossCarryforwards</t>
  </si>
  <si>
    <t>us-gaap:DeferredTaxAssetsOther</t>
  </si>
  <si>
    <t>us-gaap:DeferredTaxAssetsTaxCreditCarryforwards</t>
  </si>
  <si>
    <t>incometaxesnarrativedetails|incometaxessignificantcomponentsofdeferredtaxassetsandliabilitiesdetail</t>
  </si>
  <si>
    <t>us-gaap:DeferredTaxAssetsTaxDeferredExpenseCompensationAndBenefits</t>
  </si>
  <si>
    <t>us-gaap:DeferredTaxAssetsValuationAllowance</t>
  </si>
  <si>
    <t>us-gaap:DeferredTaxLiabilitiesGoodwillAndIntangibleAssetsIntangibleAssets</t>
  </si>
  <si>
    <t>us-gaap:DeferredTaxLiabilitiesLeasingArrangements</t>
  </si>
  <si>
    <t>us-gaap:DeferredTaxLiabilitiesOther</t>
  </si>
  <si>
    <t>us-gaap:DeferredTaxLiabilitiesUndistributedForeignEarnings</t>
  </si>
  <si>
    <t>us-gaap:DefinedBenefitPensionPlanCurrentAndNoncurrentLiabilities</t>
  </si>
  <si>
    <t>us-gaap:DefinedBenefitPlanAssetsForPlanBenefitsNoncurrent</t>
  </si>
  <si>
    <t>us-gaap:DefinedBenefitPlanAssumptionsUsedCalculatingBenefitObligationDiscountRate</t>
  </si>
  <si>
    <t>us-gaap:DefinedBenefitPlanFairValueOfPlanAssets</t>
  </si>
  <si>
    <t>us-gaap:DividendsPayableCurrentAndNoncurrent</t>
  </si>
  <si>
    <t>goodwillandintangibleassetsnetnarrativedetails|goodwillandintangibleassetsnetscheduleofgrosscarryingandaccumulatedamortizationamountsrelatedtocompanysintangibleassetsdetails</t>
  </si>
  <si>
    <t>consolidatedstatementsoffinancialcondition|goodwillandintangibleassetsnetscheduleofestimatedamortizationexpenseforremaindersucceedingyearsdetail|goodwillandintangibleassetsnetscheduleofgrosscarryingandaccumulatedamortizationamountsrelatedtocompanysintangibleassetsdetails</t>
  </si>
  <si>
    <t>us-gaap:FurnitureAndFixturesGross</t>
  </si>
  <si>
    <t>acquisitionsscheduleofcomponentsofpreliminarypurchasepriceallocationdetail|acquisitionsscheduleofpreliminaryacquiredbalancesrelatedtoacquisitiondetails|consolidatedstatementsoffinancialcondition|goodwillandintangibleassetsnetscheduleofchangetocompanysgoodwilldetail</t>
  </si>
  <si>
    <t>us-gaap:LeaseholdImprovementsGross</t>
  </si>
  <si>
    <t>us-gaap:LongTermDebt</t>
  </si>
  <si>
    <t>us-gaap:MachineryAndEquipmentGross</t>
  </si>
  <si>
    <t>segmentinformationscheduleoflonglivedassetsbygeographicareadetails</t>
  </si>
  <si>
    <t>consolidatedstatementsoffinancialcondition|leasesscheduleofmaturitiesofoperatingleaseliabilitydetail</t>
  </si>
  <si>
    <t>leasesscheduleofweightedaverageremainingleasetermanddiscountrateunderoperatingleasesdetail</t>
  </si>
  <si>
    <t>us-gaap:OperatingLossCarryforwards</t>
  </si>
  <si>
    <t>us-gaap:PensionAndOtherPostretirementDefinedBenefitPlansLiabilitiesNoncurrent</t>
  </si>
  <si>
    <t>us-gaap:PreferredStockSharesIssued</t>
  </si>
  <si>
    <t>us-gaap:PropertyPlantAndEquipmentGross</t>
  </si>
  <si>
    <t>consolidatedstatementsoffinancialcondition|propertyequipmentandleaseholdimprovementsnetscheduleofpropertyequipmentandleaseholdimprovementsnetdetail</t>
  </si>
  <si>
    <t>us-gaap:ShareBasedCompensationArrangementByShareBasedPaymentAwardOptionsOutstandingNumber</t>
  </si>
  <si>
    <t>shareholdersequitydeficitnarrativedetails|shareholdersequitydeficitscheduleofstockoptionsrollforwarddetail</t>
  </si>
  <si>
    <t>us-gaap:ShareBasedCompensationArrangementByShareBasedPaymentAwardOptionsOutstandingWeightedAverageExercisePrice</t>
  </si>
  <si>
    <t>shareholdersequitydeficitscheduleofstockoptionsrollforwarddetail</t>
  </si>
  <si>
    <t>consolidatedstatementsoffinancialcondition|consolidatedstatementsofshareholdersequitydeficit</t>
  </si>
  <si>
    <t>us-gaap:UnrecognizedTaxBenefits</t>
  </si>
  <si>
    <t>incometaxesnarrativedetails|incometaxesreconciliationofunrecognizedtaxbenefitsdetail</t>
  </si>
  <si>
    <t>us-gaap:UnrecognizedTaxBenefitsInterestOnIncomeTaxesAccrued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</si>
</sst>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</numFmts>
  <fonts count="2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b/>
      <sz val="11"/>
      <color theme="1"/>
      <name val="Calibri"/>
      <family val="2"/>
    </font>
    <font>
      <sz val="10"/>
      <color theme="1"/>
      <name val="Arial"/>
      <family val="2"/>
    </font>
    <font>
      <u/>
      <sz val="10"/>
      <color rgb="FF0000FF"/>
      <name val="Arial"/>
      <family val="2"/>
    </font>
    <font>
      <sz val="10"/>
      <name val="Times New Roman"/>
      <family val="2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name val="Calibri"/>
      <family val="2"/>
      <scheme val="minor"/>
    </font>
    <font>
      <sz val="10"/>
      <name val="Times New Roman"/>
      <family val="1"/>
    </font>
    <font>
      <b/>
      <sz val="10"/>
      <color theme="1"/>
      <name val="Arial"/>
      <family val="2"/>
    </font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8"/>
      <color rgb="FF000000"/>
      <name val="Trebuchet MS"/>
      <family val="2"/>
    </font>
    <font>
      <b/>
      <u/>
      <sz val="11"/>
      <color theme="1"/>
      <name val="Calibri"/>
      <family val="2"/>
      <scheme val="minor"/>
    </font>
    <font>
      <i/>
      <u/>
      <sz val="11"/>
      <color theme="1"/>
      <name val="Calibri"/>
      <family val="2"/>
      <scheme val="minor"/>
    </font>
    <font>
      <sz val="11"/>
      <color rgb="FF0432FF"/>
      <name val="Calibri"/>
      <family val="2"/>
      <scheme val="minor"/>
    </font>
    <font>
      <b/>
      <sz val="11"/>
      <color rgb="FF0432FF"/>
      <name val="Calibri"/>
      <family val="2"/>
      <scheme val="minor"/>
    </font>
    <font>
      <sz val="16.55"/>
      <color rgb="FF000000"/>
      <name val="Aptos Narrow"/>
    </font>
  </fonts>
  <fills count="4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</fills>
  <borders count="6">
    <border>
      <left/>
      <right/>
      <top/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0">
    <xf numFmtId="0" fontId="0" fillId="0" borderId="0"/>
    <xf numFmtId="0" fontId="2" fillId="0" borderId="0"/>
    <xf numFmtId="0" fontId="5" fillId="0" borderId="0"/>
    <xf numFmtId="9" fontId="5" fillId="0" borderId="0"/>
    <xf numFmtId="44" fontId="5" fillId="0" borderId="0"/>
    <xf numFmtId="42" fontId="5" fillId="0" borderId="0"/>
    <xf numFmtId="43" fontId="5" fillId="0" borderId="0"/>
    <xf numFmtId="41" fontId="5" fillId="0" borderId="0"/>
    <xf numFmtId="0" fontId="6" fillId="0" borderId="0"/>
    <xf numFmtId="44" fontId="5" fillId="0" borderId="0"/>
    <xf numFmtId="43" fontId="5" fillId="0" borderId="0"/>
    <xf numFmtId="43" fontId="5" fillId="0" borderId="0"/>
    <xf numFmtId="44" fontId="5" fillId="0" borderId="0"/>
    <xf numFmtId="43" fontId="5" fillId="0" borderId="0"/>
    <xf numFmtId="44" fontId="5" fillId="0" borderId="0"/>
    <xf numFmtId="43" fontId="5" fillId="0" borderId="0"/>
    <xf numFmtId="44" fontId="5" fillId="0" borderId="0"/>
    <xf numFmtId="43" fontId="5" fillId="0" borderId="0"/>
    <xf numFmtId="44" fontId="5" fillId="0" borderId="0"/>
    <xf numFmtId="9" fontId="13" fillId="0" borderId="0"/>
  </cellStyleXfs>
  <cellXfs count="33">
    <xf numFmtId="0" fontId="0" fillId="0" borderId="0" xfId="0"/>
    <xf numFmtId="14" fontId="0" fillId="0" borderId="0" xfId="0" applyNumberFormat="1"/>
    <xf numFmtId="0" fontId="2" fillId="0" borderId="0" xfId="1"/>
    <xf numFmtId="0" fontId="1" fillId="0" borderId="0" xfId="0" applyFont="1"/>
    <xf numFmtId="0" fontId="4" fillId="0" borderId="0" xfId="0" applyFont="1"/>
    <xf numFmtId="0" fontId="0" fillId="0" borderId="0" xfId="0" applyAlignment="1">
      <alignment horizontal="left"/>
    </xf>
    <xf numFmtId="0" fontId="1" fillId="0" borderId="0" xfId="0" applyFont="1" applyAlignment="1">
      <alignment horizontal="left"/>
    </xf>
    <xf numFmtId="0" fontId="8" fillId="0" borderId="0" xfId="0" applyFont="1" applyAlignment="1">
      <alignment horizontal="left"/>
    </xf>
    <xf numFmtId="0" fontId="10" fillId="0" borderId="0" xfId="0" applyFont="1" applyAlignment="1">
      <alignment horizontal="left"/>
    </xf>
    <xf numFmtId="0" fontId="3" fillId="0" borderId="0" xfId="2" applyFont="1" applyAlignment="1">
      <alignment horizontal="left" wrapText="1"/>
    </xf>
    <xf numFmtId="0" fontId="3" fillId="0" borderId="0" xfId="0" applyFont="1" applyAlignment="1">
      <alignment horizontal="left" vertical="top"/>
    </xf>
    <xf numFmtId="0" fontId="8" fillId="0" borderId="0" xfId="0" applyFont="1" applyAlignment="1">
      <alignment horizontal="left" vertical="top"/>
    </xf>
    <xf numFmtId="0" fontId="9" fillId="0" borderId="0" xfId="0" applyFont="1" applyAlignment="1">
      <alignment horizontal="left"/>
    </xf>
    <xf numFmtId="1" fontId="9" fillId="0" borderId="0" xfId="0" applyNumberFormat="1" applyFont="1" applyAlignment="1">
      <alignment horizontal="left"/>
    </xf>
    <xf numFmtId="1" fontId="8" fillId="0" borderId="0" xfId="0" applyNumberFormat="1" applyFont="1" applyAlignment="1">
      <alignment horizontal="left"/>
    </xf>
    <xf numFmtId="0" fontId="11" fillId="0" borderId="0" xfId="0" applyFont="1" applyAlignment="1">
      <alignment horizontal="left"/>
    </xf>
    <xf numFmtId="0" fontId="11" fillId="0" borderId="0" xfId="0" applyFont="1" applyAlignment="1">
      <alignment horizontal="left" vertical="justify"/>
    </xf>
    <xf numFmtId="0" fontId="7" fillId="0" borderId="0" xfId="0" applyFont="1" applyAlignment="1">
      <alignment horizontal="left"/>
    </xf>
    <xf numFmtId="0" fontId="7" fillId="0" borderId="0" xfId="0" applyFont="1" applyAlignment="1">
      <alignment horizontal="left" vertical="justify"/>
    </xf>
    <xf numFmtId="0" fontId="12" fillId="0" borderId="0" xfId="0" applyFont="1"/>
    <xf numFmtId="0" fontId="14" fillId="0" borderId="0" xfId="0" applyFont="1"/>
    <xf numFmtId="0" fontId="1" fillId="2" borderId="3" xfId="0" applyFont="1" applyFill="1" applyBorder="1" applyAlignment="1">
      <alignment horizontal="left"/>
    </xf>
    <xf numFmtId="0" fontId="16" fillId="2" borderId="2" xfId="0" applyFont="1" applyFill="1" applyBorder="1"/>
    <xf numFmtId="0" fontId="1" fillId="2" borderId="3" xfId="0" applyFont="1" applyFill="1" applyBorder="1"/>
    <xf numFmtId="0" fontId="19" fillId="3" borderId="1" xfId="0" applyFont="1" applyFill="1" applyBorder="1" applyAlignment="1">
      <alignment horizontal="left"/>
    </xf>
    <xf numFmtId="0" fontId="18" fillId="3" borderId="1" xfId="0" applyFont="1" applyFill="1" applyBorder="1" applyAlignment="1">
      <alignment horizontal="left"/>
    </xf>
    <xf numFmtId="0" fontId="18" fillId="3" borderId="1" xfId="0" applyFont="1" applyFill="1" applyBorder="1"/>
    <xf numFmtId="0" fontId="0" fillId="0" borderId="0" xfId="0" applyAlignment="1">
      <alignment horizontal="right"/>
    </xf>
    <xf numFmtId="0" fontId="14" fillId="0" borderId="0" xfId="0" applyFont="1" applyAlignment="1">
      <alignment horizontal="right"/>
    </xf>
    <xf numFmtId="0" fontId="0" fillId="2" borderId="4" xfId="0" applyFill="1" applyBorder="1" applyAlignment="1">
      <alignment horizontal="left"/>
    </xf>
    <xf numFmtId="9" fontId="13" fillId="2" borderId="5" xfId="19" applyFill="1" applyBorder="1" applyAlignment="1">
      <alignment horizontal="left"/>
    </xf>
    <xf numFmtId="0" fontId="16" fillId="0" borderId="0" xfId="0" applyFont="1"/>
    <xf numFmtId="0" fontId="19" fillId="3" borderId="1" xfId="0" applyFont="1" applyFill="1" applyBorder="1"/>
  </cellXfs>
  <cellStyles count="20">
    <cellStyle name="Comma [0] 2" xfId="7" xr:uid="{00000000-0005-0000-0000-000007000000}"/>
    <cellStyle name="Comma 2" xfId="6" xr:uid="{00000000-0005-0000-0000-000006000000}"/>
    <cellStyle name="Comma 3" xfId="10" xr:uid="{00000000-0005-0000-0000-00000A000000}"/>
    <cellStyle name="Comma 4" xfId="11" xr:uid="{00000000-0005-0000-0000-00000B000000}"/>
    <cellStyle name="Comma 5" xfId="13" xr:uid="{00000000-0005-0000-0000-00000D000000}"/>
    <cellStyle name="Comma 6" xfId="15" xr:uid="{00000000-0005-0000-0000-00000F000000}"/>
    <cellStyle name="Comma 7" xfId="17" xr:uid="{00000000-0005-0000-0000-000011000000}"/>
    <cellStyle name="Currency [0] 2" xfId="5" xr:uid="{00000000-0005-0000-0000-000005000000}"/>
    <cellStyle name="Currency 2" xfId="4" xr:uid="{00000000-0005-0000-0000-000004000000}"/>
    <cellStyle name="Currency 3" xfId="9" xr:uid="{00000000-0005-0000-0000-000009000000}"/>
    <cellStyle name="Currency 4" xfId="12" xr:uid="{00000000-0005-0000-0000-00000C000000}"/>
    <cellStyle name="Currency 5" xfId="14" xr:uid="{00000000-0005-0000-0000-00000E000000}"/>
    <cellStyle name="Currency 6" xfId="16" xr:uid="{00000000-0005-0000-0000-000010000000}"/>
    <cellStyle name="Currency 7" xfId="18" xr:uid="{00000000-0005-0000-0000-000012000000}"/>
    <cellStyle name="Hyperlink" xfId="1" builtinId="8"/>
    <cellStyle name="Hyperlink 2" xfId="8" xr:uid="{00000000-0005-0000-0000-000008000000}"/>
    <cellStyle name="Normal" xfId="0" builtinId="0"/>
    <cellStyle name="Normal 2" xfId="2" xr:uid="{00000000-0005-0000-0000-000002000000}"/>
    <cellStyle name="Percent" xfId="19" builtinId="5"/>
    <cellStyle name="Percent 2" xfId="3" xr:uid="{00000000-0005-0000-0000-000003000000}"/>
  </cellStyles>
  <dxfs count="0"/>
  <tableStyles count="0" defaultTableStyle="TableStyleMedium2" defaultPivotStyle="PivotStyleLight16"/>
  <colors>
    <mruColors>
      <color rgb="FF0432FF"/>
      <color rgb="FFDEDEDE"/>
      <color rgb="FFF5F5F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685800</xdr:colOff>
          <xdr:row>4</xdr:row>
          <xdr:rowOff>88900</xdr:rowOff>
        </xdr:from>
        <xdr:to>
          <xdr:col>7</xdr:col>
          <xdr:colOff>0</xdr:colOff>
          <xdr:row>7</xdr:row>
          <xdr:rowOff>88900</xdr:rowOff>
        </xdr:to>
        <xdr:sp macro="" textlink="">
          <xdr:nvSpPr>
            <xdr:cNvPr id="1025" name="Button 1" descr="👉 Update Model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Trebuchet MS" pitchFamily="2" charset="0"/>
                </a:rPr>
                <a:t>👉 Update Model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76200</xdr:colOff>
          <xdr:row>0</xdr:row>
          <xdr:rowOff>114300</xdr:rowOff>
        </xdr:from>
        <xdr:to>
          <xdr:col>8</xdr:col>
          <xdr:colOff>2527300</xdr:colOff>
          <xdr:row>3</xdr:row>
          <xdr:rowOff>139700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55" b="0" i="0" u="none" strike="noStrike" baseline="0">
                  <a:solidFill>
                    <a:srgbClr val="000000"/>
                  </a:solidFill>
                  <a:latin typeface="Aptos Narrow" charset="0"/>
                </a:rPr>
                <a:t>⬇️ Get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hyperlink" Target="https:/henrychien.com" TargetMode="External"/><Relationship Id="rId1" Type="http://schemas.openxmlformats.org/officeDocument/2006/relationships/hyperlink" Target="https://www.financialmodelupdater.com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717"/>
  <sheetViews>
    <sheetView tabSelected="1" topLeftCell="F1" zoomScaleNormal="100" workbookViewId="0">
      <selection activeCell="G11" sqref="G11"/>
    </sheetView>
  </sheetViews>
  <sheetFormatPr baseColWidth="10" defaultColWidth="9.1640625" defaultRowHeight="15" x14ac:dyDescent="0.2"/>
  <cols>
    <col min="1" max="1" width="25.1640625" style="13" customWidth="1"/>
    <col min="2" max="3" width="14.1640625" style="14" customWidth="1"/>
    <col min="4" max="4" width="21.33203125" style="5" customWidth="1"/>
    <col min="5" max="5" width="12" style="5" customWidth="1"/>
    <col min="7" max="7" width="49.6640625" customWidth="1"/>
    <col min="8" max="8" width="8.5" customWidth="1"/>
    <col min="9" max="9" width="58.6640625" customWidth="1"/>
  </cols>
  <sheetData>
    <row r="1" spans="1:10" x14ac:dyDescent="0.2">
      <c r="A1" s="19" t="s">
        <v>0</v>
      </c>
      <c r="B1" s="19" t="s">
        <v>1</v>
      </c>
      <c r="C1" s="19" t="s">
        <v>2</v>
      </c>
      <c r="D1" s="3" t="s">
        <v>3</v>
      </c>
      <c r="E1" s="19" t="s">
        <v>4</v>
      </c>
      <c r="G1" s="6" t="s">
        <v>5</v>
      </c>
      <c r="H1" s="24" t="s">
        <v>79</v>
      </c>
    </row>
    <row r="2" spans="1:10" x14ac:dyDescent="0.2">
      <c r="A2" s="7" t="s">
        <v>131</v>
      </c>
      <c r="B2" s="7">
        <v>372067</v>
      </c>
      <c r="C2" s="8">
        <v>41124</v>
      </c>
      <c r="D2" s="8" t="s">
        <v>152</v>
      </c>
      <c r="E2" s="8">
        <v>0</v>
      </c>
      <c r="G2" s="6" t="s">
        <v>6</v>
      </c>
      <c r="H2" s="24">
        <v>2024</v>
      </c>
    </row>
    <row r="3" spans="1:10" x14ac:dyDescent="0.2">
      <c r="A3" s="7" t="s">
        <v>153</v>
      </c>
      <c r="B3" s="7">
        <v>0</v>
      </c>
      <c r="C3" s="8">
        <v>1421</v>
      </c>
      <c r="D3" s="8" t="s">
        <v>134</v>
      </c>
      <c r="E3" s="8">
        <v>1</v>
      </c>
      <c r="G3" s="6" t="s">
        <v>7</v>
      </c>
      <c r="H3" s="24">
        <v>4</v>
      </c>
    </row>
    <row r="4" spans="1:10" x14ac:dyDescent="0.2">
      <c r="A4" s="7" t="s">
        <v>132</v>
      </c>
      <c r="B4" s="7">
        <v>180583</v>
      </c>
      <c r="C4" s="8">
        <v>246385</v>
      </c>
      <c r="D4" s="8" t="s">
        <v>152</v>
      </c>
      <c r="E4" s="8">
        <v>0</v>
      </c>
      <c r="G4" s="6" t="s">
        <v>8</v>
      </c>
      <c r="H4" s="24" t="b">
        <v>0</v>
      </c>
    </row>
    <row r="5" spans="1:10" x14ac:dyDescent="0.2">
      <c r="A5" s="7" t="s">
        <v>80</v>
      </c>
      <c r="B5" s="7">
        <v>-6769</v>
      </c>
      <c r="C5" s="8">
        <v>-8035</v>
      </c>
      <c r="D5" s="8" t="s">
        <v>154</v>
      </c>
      <c r="E5" s="8">
        <v>0</v>
      </c>
    </row>
    <row r="6" spans="1:10" x14ac:dyDescent="0.2">
      <c r="A6" s="7" t="s">
        <v>135</v>
      </c>
      <c r="B6" s="7">
        <v>84124</v>
      </c>
      <c r="C6" s="8">
        <v>77165</v>
      </c>
      <c r="D6" s="8" t="s">
        <v>134</v>
      </c>
      <c r="E6" s="8">
        <v>0</v>
      </c>
    </row>
    <row r="7" spans="1:10" x14ac:dyDescent="0.2">
      <c r="A7" s="7" t="s">
        <v>135</v>
      </c>
      <c r="B7" s="7">
        <v>29698</v>
      </c>
      <c r="C7" s="8">
        <v>25564</v>
      </c>
      <c r="D7" s="8" t="s">
        <v>134</v>
      </c>
      <c r="E7" s="8">
        <v>0</v>
      </c>
    </row>
    <row r="8" spans="1:10" x14ac:dyDescent="0.2">
      <c r="A8" s="7" t="s">
        <v>135</v>
      </c>
      <c r="B8" s="7">
        <v>323156</v>
      </c>
      <c r="C8" s="7">
        <v>298549</v>
      </c>
      <c r="D8" s="8" t="s">
        <v>134</v>
      </c>
      <c r="E8" s="8">
        <v>0</v>
      </c>
    </row>
    <row r="9" spans="1:10" x14ac:dyDescent="0.2">
      <c r="A9" s="7" t="s">
        <v>81</v>
      </c>
      <c r="B9" s="8">
        <v>1287</v>
      </c>
      <c r="C9" s="7">
        <v>1264</v>
      </c>
      <c r="D9" s="8" t="s">
        <v>154</v>
      </c>
      <c r="E9" s="8">
        <v>0</v>
      </c>
      <c r="G9" s="22" t="s">
        <v>75</v>
      </c>
    </row>
    <row r="10" spans="1:10" x14ac:dyDescent="0.2">
      <c r="A10" s="7" t="s">
        <v>18</v>
      </c>
      <c r="B10" s="7">
        <v>42721</v>
      </c>
      <c r="C10" s="8">
        <v>36886</v>
      </c>
      <c r="D10" s="8" t="s">
        <v>155</v>
      </c>
      <c r="E10" s="8">
        <v>0</v>
      </c>
      <c r="G10" s="21" t="s">
        <v>10</v>
      </c>
    </row>
    <row r="11" spans="1:10" x14ac:dyDescent="0.2">
      <c r="A11" s="7" t="s">
        <v>18</v>
      </c>
      <c r="B11" s="7">
        <v>25815</v>
      </c>
      <c r="C11" s="7">
        <v>24873</v>
      </c>
      <c r="D11" s="8" t="s">
        <v>155</v>
      </c>
      <c r="E11" s="8">
        <v>0</v>
      </c>
      <c r="G11" s="24">
        <v>1000</v>
      </c>
      <c r="H11" s="27" t="s">
        <v>77</v>
      </c>
      <c r="I11" t="s">
        <v>146</v>
      </c>
    </row>
    <row r="12" spans="1:10" x14ac:dyDescent="0.2">
      <c r="A12" s="7" t="s">
        <v>18</v>
      </c>
      <c r="B12" s="7">
        <v>16906</v>
      </c>
      <c r="C12" s="7">
        <v>12013</v>
      </c>
      <c r="D12" s="8" t="s">
        <v>155</v>
      </c>
      <c r="E12" s="8">
        <v>0</v>
      </c>
      <c r="G12" s="23" t="s">
        <v>74</v>
      </c>
    </row>
    <row r="13" spans="1:10" x14ac:dyDescent="0.2">
      <c r="A13" s="7" t="s">
        <v>82</v>
      </c>
      <c r="B13" s="7">
        <v>-524</v>
      </c>
      <c r="C13" s="7">
        <v>-1996</v>
      </c>
      <c r="D13" s="8" t="s">
        <v>154</v>
      </c>
      <c r="E13" s="8">
        <v>0</v>
      </c>
      <c r="G13" s="26" t="s">
        <v>46</v>
      </c>
      <c r="H13" s="27" t="s">
        <v>77</v>
      </c>
      <c r="I13" t="s">
        <v>145</v>
      </c>
    </row>
    <row r="14" spans="1:10" x14ac:dyDescent="0.2">
      <c r="A14" s="7" t="s">
        <v>11</v>
      </c>
      <c r="B14" s="7">
        <v>-91628</v>
      </c>
      <c r="C14" s="7">
        <v>-466859</v>
      </c>
      <c r="D14" s="8" t="s">
        <v>154</v>
      </c>
      <c r="E14" s="8">
        <v>0</v>
      </c>
      <c r="G14" s="23" t="s">
        <v>76</v>
      </c>
    </row>
    <row r="15" spans="1:10" x14ac:dyDescent="0.2">
      <c r="A15" s="7" t="s">
        <v>120</v>
      </c>
      <c r="B15" s="7">
        <v>1.600000000000001</v>
      </c>
      <c r="C15" s="7">
        <v>1.38</v>
      </c>
      <c r="D15" s="8" t="s">
        <v>156</v>
      </c>
      <c r="E15" s="8">
        <v>0</v>
      </c>
      <c r="G15" s="32"/>
      <c r="H15" s="27" t="s">
        <v>77</v>
      </c>
      <c r="I15" t="s">
        <v>149</v>
      </c>
      <c r="J15" s="20" t="s">
        <v>138</v>
      </c>
    </row>
    <row r="16" spans="1:10" x14ac:dyDescent="0.2">
      <c r="A16" s="7" t="s">
        <v>41</v>
      </c>
      <c r="B16" s="7">
        <v>287455</v>
      </c>
      <c r="C16" s="8">
        <v>403050</v>
      </c>
      <c r="D16" s="8" t="s">
        <v>157</v>
      </c>
      <c r="E16" s="8">
        <v>0</v>
      </c>
      <c r="G16" s="23" t="s">
        <v>78</v>
      </c>
    </row>
    <row r="17" spans="1:9" x14ac:dyDescent="0.2">
      <c r="A17" s="7" t="s">
        <v>123</v>
      </c>
      <c r="B17" s="7">
        <v>9.9999999999999645E-2</v>
      </c>
      <c r="C17" s="8">
        <v>-0.29999999999999888</v>
      </c>
      <c r="D17" s="8" t="s">
        <v>124</v>
      </c>
      <c r="E17" s="8">
        <v>0</v>
      </c>
      <c r="G17" s="25" t="b">
        <v>1</v>
      </c>
      <c r="H17" s="28" t="s">
        <v>77</v>
      </c>
      <c r="I17" t="s">
        <v>148</v>
      </c>
    </row>
    <row r="18" spans="1:9" x14ac:dyDescent="0.2">
      <c r="A18" s="7" t="s">
        <v>123</v>
      </c>
      <c r="B18" s="7">
        <v>9.9999999999997868E-2</v>
      </c>
      <c r="C18" s="8">
        <v>-0.19999999999999929</v>
      </c>
      <c r="D18" s="8" t="s">
        <v>124</v>
      </c>
      <c r="E18" s="8">
        <v>0</v>
      </c>
    </row>
    <row r="19" spans="1:9" x14ac:dyDescent="0.2">
      <c r="A19" s="7" t="s">
        <v>130</v>
      </c>
      <c r="B19" s="7">
        <v>107.4</v>
      </c>
      <c r="C19" s="8">
        <v>38.700000000000053</v>
      </c>
      <c r="D19" s="8" t="s">
        <v>129</v>
      </c>
      <c r="E19" s="8">
        <v>0</v>
      </c>
    </row>
    <row r="20" spans="1:9" x14ac:dyDescent="0.2">
      <c r="A20" s="7" t="s">
        <v>115</v>
      </c>
      <c r="B20" s="7">
        <v>131567</v>
      </c>
      <c r="C20" s="8">
        <v>122557</v>
      </c>
      <c r="D20" s="8" t="s">
        <v>158</v>
      </c>
      <c r="E20" s="8">
        <v>0</v>
      </c>
      <c r="G20" s="29" t="s">
        <v>137</v>
      </c>
      <c r="H20" s="27" t="s">
        <v>77</v>
      </c>
      <c r="I20" s="20" t="s">
        <v>147</v>
      </c>
    </row>
    <row r="21" spans="1:9" x14ac:dyDescent="0.2">
      <c r="A21" s="7" t="s">
        <v>116</v>
      </c>
      <c r="B21" s="7">
        <v>338315</v>
      </c>
      <c r="C21" s="8">
        <v>319361</v>
      </c>
      <c r="D21" s="8" t="s">
        <v>158</v>
      </c>
      <c r="E21" s="8">
        <v>0</v>
      </c>
      <c r="G21" s="30">
        <f>COUNTIF(E2:E5000, 1)/COUNTA(C2:C5000)</f>
        <v>2.9535864978902954E-2</v>
      </c>
    </row>
    <row r="22" spans="1:9" x14ac:dyDescent="0.2">
      <c r="A22" s="7" t="s">
        <v>159</v>
      </c>
      <c r="B22" s="7">
        <v>-16172</v>
      </c>
      <c r="C22" s="8">
        <v>15715</v>
      </c>
      <c r="D22" s="8" t="s">
        <v>160</v>
      </c>
      <c r="E22" s="8">
        <v>0</v>
      </c>
      <c r="G22" s="5"/>
      <c r="H22" s="27"/>
    </row>
    <row r="23" spans="1:9" x14ac:dyDescent="0.2">
      <c r="A23" s="7" t="s">
        <v>161</v>
      </c>
      <c r="B23" s="7">
        <v>4339</v>
      </c>
      <c r="C23" s="8">
        <v>5098</v>
      </c>
      <c r="D23" s="8" t="s">
        <v>162</v>
      </c>
      <c r="E23" s="8">
        <v>0</v>
      </c>
    </row>
    <row r="24" spans="1:9" x14ac:dyDescent="0.2">
      <c r="A24" s="7" t="s">
        <v>161</v>
      </c>
      <c r="B24" s="7">
        <v>16965.400000000001</v>
      </c>
      <c r="C24" s="8">
        <v>20993.1</v>
      </c>
      <c r="D24" s="8" t="s">
        <v>162</v>
      </c>
      <c r="E24" s="8">
        <v>0</v>
      </c>
    </row>
    <row r="25" spans="1:9" x14ac:dyDescent="0.2">
      <c r="A25" s="7" t="s">
        <v>161</v>
      </c>
      <c r="B25" s="7">
        <v>-12622</v>
      </c>
      <c r="C25" s="8">
        <v>-15890</v>
      </c>
      <c r="D25" s="8" t="s">
        <v>162</v>
      </c>
      <c r="E25" s="8">
        <v>0</v>
      </c>
    </row>
    <row r="26" spans="1:9" x14ac:dyDescent="0.2">
      <c r="A26" s="7" t="s">
        <v>161</v>
      </c>
      <c r="B26" s="7">
        <v>4.4000000000000004</v>
      </c>
      <c r="C26" s="7">
        <v>5.0999999999999996</v>
      </c>
      <c r="D26" s="8" t="s">
        <v>162</v>
      </c>
      <c r="E26" s="8">
        <v>0</v>
      </c>
    </row>
    <row r="27" spans="1:9" x14ac:dyDescent="0.2">
      <c r="A27" s="7" t="s">
        <v>136</v>
      </c>
      <c r="B27" s="7">
        <v>125163</v>
      </c>
      <c r="C27" s="7">
        <v>109399</v>
      </c>
      <c r="D27" s="8" t="s">
        <v>163</v>
      </c>
      <c r="E27" s="8">
        <v>0</v>
      </c>
    </row>
    <row r="28" spans="1:9" x14ac:dyDescent="0.2">
      <c r="A28" s="7" t="s">
        <v>164</v>
      </c>
      <c r="B28" s="7">
        <v>125576</v>
      </c>
      <c r="C28" s="7">
        <v>109887</v>
      </c>
      <c r="D28" s="8" t="s">
        <v>163</v>
      </c>
      <c r="E28" s="8">
        <v>0</v>
      </c>
    </row>
    <row r="29" spans="1:9" x14ac:dyDescent="0.2">
      <c r="A29" s="7" t="s">
        <v>32</v>
      </c>
      <c r="B29" s="7">
        <v>3.91</v>
      </c>
      <c r="C29" s="7">
        <v>5.09</v>
      </c>
      <c r="D29" s="8" t="s">
        <v>165</v>
      </c>
      <c r="E29" s="8">
        <v>0</v>
      </c>
    </row>
    <row r="30" spans="1:9" x14ac:dyDescent="0.2">
      <c r="A30" s="7" t="s">
        <v>33</v>
      </c>
      <c r="B30" s="7">
        <v>3.9</v>
      </c>
      <c r="C30" s="7">
        <v>5.07</v>
      </c>
      <c r="D30" s="8" t="s">
        <v>165</v>
      </c>
      <c r="E30" s="8">
        <v>0</v>
      </c>
    </row>
    <row r="31" spans="1:9" x14ac:dyDescent="0.2">
      <c r="A31" s="7" t="s">
        <v>83</v>
      </c>
      <c r="B31" s="7">
        <v>-9345</v>
      </c>
      <c r="C31" s="7">
        <v>5722</v>
      </c>
      <c r="D31" s="8" t="s">
        <v>154</v>
      </c>
      <c r="E31" s="8">
        <v>0</v>
      </c>
    </row>
    <row r="32" spans="1:9" x14ac:dyDescent="0.2">
      <c r="A32" s="7" t="s">
        <v>31</v>
      </c>
      <c r="B32" s="7">
        <v>-0.88000000000000256</v>
      </c>
      <c r="C32" s="7">
        <v>-1.1999999999999991</v>
      </c>
      <c r="D32" s="8" t="s">
        <v>166</v>
      </c>
      <c r="E32" s="8">
        <v>0</v>
      </c>
    </row>
    <row r="33" spans="1:10" x14ac:dyDescent="0.2">
      <c r="A33" s="7" t="s">
        <v>37</v>
      </c>
      <c r="B33" s="7">
        <v>44382</v>
      </c>
      <c r="C33" s="7">
        <v>40440</v>
      </c>
      <c r="D33" s="8" t="s">
        <v>158</v>
      </c>
      <c r="E33" s="8">
        <v>0</v>
      </c>
    </row>
    <row r="34" spans="1:10" x14ac:dyDescent="0.2">
      <c r="A34" s="7" t="s">
        <v>39</v>
      </c>
      <c r="B34" s="7">
        <v>363345</v>
      </c>
      <c r="C34" s="7">
        <v>467875</v>
      </c>
      <c r="D34" s="8" t="s">
        <v>167</v>
      </c>
      <c r="E34" s="8">
        <v>0</v>
      </c>
      <c r="I34" s="27"/>
      <c r="J34" s="3"/>
    </row>
    <row r="35" spans="1:10" x14ac:dyDescent="0.2">
      <c r="A35" s="7" t="s">
        <v>43</v>
      </c>
      <c r="B35" s="7">
        <v>57830</v>
      </c>
      <c r="C35" s="8">
        <v>64495</v>
      </c>
      <c r="D35" s="8" t="s">
        <v>168</v>
      </c>
      <c r="E35" s="8">
        <v>0</v>
      </c>
      <c r="I35" s="27"/>
    </row>
    <row r="36" spans="1:10" x14ac:dyDescent="0.2">
      <c r="A36" s="7" t="s">
        <v>43</v>
      </c>
      <c r="B36" s="7">
        <v>246850.8</v>
      </c>
      <c r="C36" s="7">
        <v>220313</v>
      </c>
      <c r="D36" s="8" t="s">
        <v>168</v>
      </c>
      <c r="E36" s="8">
        <v>0</v>
      </c>
      <c r="I36" s="27"/>
      <c r="J36" s="3"/>
    </row>
    <row r="37" spans="1:10" x14ac:dyDescent="0.2">
      <c r="A37" s="7" t="s">
        <v>47</v>
      </c>
      <c r="B37" s="7">
        <v>39605</v>
      </c>
      <c r="C37" s="7">
        <v>42733</v>
      </c>
      <c r="D37" s="8" t="s">
        <v>154</v>
      </c>
      <c r="E37" s="8">
        <v>0</v>
      </c>
      <c r="I37" s="27"/>
    </row>
    <row r="38" spans="1:10" x14ac:dyDescent="0.2">
      <c r="A38" s="7" t="s">
        <v>84</v>
      </c>
      <c r="B38" s="7">
        <v>6126</v>
      </c>
      <c r="C38" s="7">
        <v>-325</v>
      </c>
      <c r="D38" s="8" t="s">
        <v>154</v>
      </c>
      <c r="E38" s="8">
        <v>0</v>
      </c>
    </row>
    <row r="39" spans="1:10" x14ac:dyDescent="0.2">
      <c r="A39" s="7" t="s">
        <v>48</v>
      </c>
      <c r="B39" s="7">
        <v>184007</v>
      </c>
      <c r="C39" s="7">
        <v>207661</v>
      </c>
      <c r="D39" s="8" t="s">
        <v>154</v>
      </c>
      <c r="E39" s="8">
        <v>0</v>
      </c>
    </row>
    <row r="40" spans="1:10" x14ac:dyDescent="0.2">
      <c r="A40" s="7" t="s">
        <v>85</v>
      </c>
      <c r="B40" s="7">
        <v>2120</v>
      </c>
      <c r="C40" s="7">
        <v>3296</v>
      </c>
      <c r="D40" s="8" t="s">
        <v>154</v>
      </c>
      <c r="E40" s="8">
        <v>0</v>
      </c>
    </row>
    <row r="41" spans="1:10" x14ac:dyDescent="0.2">
      <c r="A41" s="7" t="s">
        <v>49</v>
      </c>
      <c r="B41" s="7">
        <v>192417</v>
      </c>
      <c r="C41" s="7">
        <v>215539</v>
      </c>
      <c r="D41" s="8" t="s">
        <v>154</v>
      </c>
      <c r="E41" s="8">
        <v>0</v>
      </c>
    </row>
    <row r="42" spans="1:10" x14ac:dyDescent="0.2">
      <c r="A42" s="7" t="s">
        <v>86</v>
      </c>
      <c r="B42" s="7">
        <v>44906</v>
      </c>
      <c r="C42" s="7">
        <v>48817</v>
      </c>
      <c r="D42" s="8" t="s">
        <v>154</v>
      </c>
      <c r="E42" s="8">
        <v>0</v>
      </c>
    </row>
    <row r="43" spans="1:10" x14ac:dyDescent="0.2">
      <c r="A43" s="7" t="s">
        <v>87</v>
      </c>
      <c r="B43" s="7">
        <v>-11075</v>
      </c>
      <c r="C43" s="7">
        <v>-11582</v>
      </c>
      <c r="D43" s="8" t="s">
        <v>154</v>
      </c>
      <c r="E43" s="8">
        <v>0</v>
      </c>
    </row>
    <row r="44" spans="1:10" x14ac:dyDescent="0.2">
      <c r="A44" s="7" t="s">
        <v>88</v>
      </c>
      <c r="B44" s="7">
        <v>-981</v>
      </c>
      <c r="C44" s="7">
        <v>3265</v>
      </c>
      <c r="D44" s="8" t="s">
        <v>154</v>
      </c>
      <c r="E44" s="8">
        <v>0</v>
      </c>
    </row>
    <row r="45" spans="1:10" x14ac:dyDescent="0.2">
      <c r="A45" s="7" t="s">
        <v>89</v>
      </c>
      <c r="B45" s="7">
        <v>6384</v>
      </c>
      <c r="C45" s="8">
        <v>4657</v>
      </c>
      <c r="D45" s="8" t="s">
        <v>154</v>
      </c>
      <c r="E45" s="8">
        <v>0</v>
      </c>
    </row>
    <row r="46" spans="1:10" x14ac:dyDescent="0.2">
      <c r="A46" s="7" t="s">
        <v>169</v>
      </c>
      <c r="B46" s="7">
        <v>-257</v>
      </c>
      <c r="C46" s="8">
        <v>-3882</v>
      </c>
      <c r="D46" s="8" t="s">
        <v>154</v>
      </c>
      <c r="E46" s="8">
        <v>0</v>
      </c>
    </row>
    <row r="47" spans="1:10" x14ac:dyDescent="0.2">
      <c r="A47" s="7" t="s">
        <v>90</v>
      </c>
      <c r="B47" s="7">
        <v>3443</v>
      </c>
      <c r="C47" s="8">
        <v>123</v>
      </c>
      <c r="D47" s="8" t="s">
        <v>154</v>
      </c>
      <c r="E47" s="8">
        <v>0</v>
      </c>
    </row>
    <row r="48" spans="1:10" x14ac:dyDescent="0.2">
      <c r="A48" s="7" t="s">
        <v>91</v>
      </c>
      <c r="B48" s="7">
        <v>-28603</v>
      </c>
      <c r="C48" s="8">
        <v>4277</v>
      </c>
      <c r="D48" s="8" t="s">
        <v>154</v>
      </c>
      <c r="E48" s="8">
        <v>0</v>
      </c>
    </row>
    <row r="49" spans="1:5" x14ac:dyDescent="0.2">
      <c r="A49" s="7" t="s">
        <v>170</v>
      </c>
      <c r="B49" s="7">
        <v>16</v>
      </c>
      <c r="C49" s="8">
        <v>2</v>
      </c>
      <c r="D49" s="8" t="s">
        <v>122</v>
      </c>
      <c r="E49" s="8">
        <v>0</v>
      </c>
    </row>
    <row r="50" spans="1:5" x14ac:dyDescent="0.2">
      <c r="A50" s="7" t="s">
        <v>117</v>
      </c>
      <c r="B50" s="7">
        <v>45505</v>
      </c>
      <c r="C50" s="8">
        <v>46954</v>
      </c>
      <c r="D50" s="8" t="s">
        <v>158</v>
      </c>
      <c r="E50" s="8">
        <v>0</v>
      </c>
    </row>
    <row r="51" spans="1:5" x14ac:dyDescent="0.2">
      <c r="A51" s="7" t="s">
        <v>12</v>
      </c>
      <c r="B51" s="7">
        <v>54989</v>
      </c>
      <c r="C51" s="7">
        <v>57245</v>
      </c>
      <c r="D51" s="8" t="s">
        <v>154</v>
      </c>
      <c r="E51" s="8">
        <v>0</v>
      </c>
    </row>
    <row r="52" spans="1:5" x14ac:dyDescent="0.2">
      <c r="A52" s="7" t="s">
        <v>118</v>
      </c>
      <c r="B52" s="7">
        <v>3902</v>
      </c>
      <c r="C52" s="8">
        <v>3400</v>
      </c>
      <c r="D52" s="8" t="s">
        <v>158</v>
      </c>
      <c r="E52" s="8">
        <v>0</v>
      </c>
    </row>
    <row r="53" spans="1:5" x14ac:dyDescent="0.2">
      <c r="A53" s="7" t="s">
        <v>67</v>
      </c>
      <c r="B53" s="7">
        <v>6912</v>
      </c>
      <c r="C53" s="7">
        <v>7601</v>
      </c>
      <c r="D53" s="8" t="s">
        <v>125</v>
      </c>
      <c r="E53" s="8">
        <v>0</v>
      </c>
    </row>
    <row r="54" spans="1:5" x14ac:dyDescent="0.2">
      <c r="A54" s="7" t="s">
        <v>13</v>
      </c>
      <c r="B54" s="7">
        <v>-476183</v>
      </c>
      <c r="C54" s="7">
        <v>-111567</v>
      </c>
      <c r="D54" s="8" t="s">
        <v>154</v>
      </c>
      <c r="E54" s="8">
        <v>0</v>
      </c>
    </row>
    <row r="55" spans="1:5" x14ac:dyDescent="0.2">
      <c r="A55" s="7" t="s">
        <v>14</v>
      </c>
      <c r="B55" s="7">
        <v>-36733</v>
      </c>
      <c r="C55" s="8">
        <v>-749967</v>
      </c>
      <c r="D55" s="8" t="s">
        <v>154</v>
      </c>
      <c r="E55" s="8">
        <v>0</v>
      </c>
    </row>
    <row r="56" spans="1:5" x14ac:dyDescent="0.2">
      <c r="A56" s="7" t="s">
        <v>15</v>
      </c>
      <c r="B56" s="7">
        <v>430633</v>
      </c>
      <c r="C56" s="7">
        <v>388953</v>
      </c>
      <c r="D56" s="8" t="s">
        <v>154</v>
      </c>
      <c r="E56" s="8">
        <v>0</v>
      </c>
    </row>
    <row r="57" spans="1:5" x14ac:dyDescent="0.2">
      <c r="A57" s="7" t="s">
        <v>171</v>
      </c>
      <c r="B57" s="7">
        <v>305515</v>
      </c>
      <c r="C57" s="7">
        <v>403380</v>
      </c>
      <c r="D57" s="8" t="s">
        <v>172</v>
      </c>
      <c r="E57" s="8">
        <v>0</v>
      </c>
    </row>
    <row r="58" spans="1:5" x14ac:dyDescent="0.2">
      <c r="A58" s="7" t="s">
        <v>64</v>
      </c>
      <c r="B58" s="7">
        <v>-41849</v>
      </c>
      <c r="C58" s="7">
        <v>97130</v>
      </c>
      <c r="D58" s="8" t="s">
        <v>173</v>
      </c>
      <c r="E58" s="8">
        <v>0</v>
      </c>
    </row>
    <row r="59" spans="1:5" x14ac:dyDescent="0.2">
      <c r="A59" s="7" t="s">
        <v>38</v>
      </c>
      <c r="B59" s="7">
        <v>405194</v>
      </c>
      <c r="C59" s="7">
        <v>370745</v>
      </c>
      <c r="D59" s="8" t="s">
        <v>173</v>
      </c>
      <c r="E59" s="8">
        <v>0</v>
      </c>
    </row>
    <row r="60" spans="1:5" x14ac:dyDescent="0.2">
      <c r="A60" s="7" t="s">
        <v>68</v>
      </c>
      <c r="B60" s="7">
        <v>7188</v>
      </c>
      <c r="C60" s="7">
        <v>7670</v>
      </c>
      <c r="D60" s="8" t="s">
        <v>125</v>
      </c>
      <c r="E60" s="8">
        <v>0</v>
      </c>
    </row>
    <row r="61" spans="1:5" x14ac:dyDescent="0.2">
      <c r="A61" s="7" t="s">
        <v>127</v>
      </c>
      <c r="B61" s="7">
        <v>7807</v>
      </c>
      <c r="C61" s="7">
        <v>8331</v>
      </c>
      <c r="D61" s="8" t="s">
        <v>174</v>
      </c>
      <c r="E61" s="8">
        <v>0</v>
      </c>
    </row>
    <row r="62" spans="1:5" x14ac:dyDescent="0.2">
      <c r="A62" s="7" t="s">
        <v>92</v>
      </c>
      <c r="B62" s="7">
        <v>5678</v>
      </c>
      <c r="C62" s="7">
        <v>6297</v>
      </c>
      <c r="D62" s="8" t="s">
        <v>154</v>
      </c>
      <c r="E62" s="8">
        <v>0</v>
      </c>
    </row>
    <row r="63" spans="1:5" x14ac:dyDescent="0.2">
      <c r="A63" s="7" t="s">
        <v>98</v>
      </c>
      <c r="B63" s="7">
        <v>3749</v>
      </c>
      <c r="C63" s="7">
        <v>7494</v>
      </c>
      <c r="D63" s="8" t="s">
        <v>157</v>
      </c>
      <c r="E63" s="8">
        <v>0</v>
      </c>
    </row>
    <row r="64" spans="1:5" x14ac:dyDescent="0.2">
      <c r="A64" s="7" t="s">
        <v>99</v>
      </c>
      <c r="B64" s="7">
        <v>2944</v>
      </c>
      <c r="C64" s="8">
        <v>5812</v>
      </c>
      <c r="D64" s="8" t="s">
        <v>157</v>
      </c>
      <c r="E64" s="8">
        <v>0</v>
      </c>
    </row>
    <row r="65" spans="1:5" x14ac:dyDescent="0.2">
      <c r="A65" s="7" t="s">
        <v>100</v>
      </c>
      <c r="B65" s="7">
        <v>805</v>
      </c>
      <c r="C65" s="7">
        <v>1682</v>
      </c>
      <c r="D65" s="8" t="s">
        <v>157</v>
      </c>
      <c r="E65" s="8">
        <v>0</v>
      </c>
    </row>
    <row r="66" spans="1:5" x14ac:dyDescent="0.2">
      <c r="A66" s="7" t="s">
        <v>101</v>
      </c>
      <c r="B66" s="7">
        <v>-16692</v>
      </c>
      <c r="C66" s="7">
        <v>6273</v>
      </c>
      <c r="D66" s="8" t="s">
        <v>157</v>
      </c>
      <c r="E66" s="8">
        <v>0</v>
      </c>
    </row>
    <row r="67" spans="1:5" x14ac:dyDescent="0.2">
      <c r="A67" s="7" t="s">
        <v>102</v>
      </c>
      <c r="B67" s="7">
        <v>-15116</v>
      </c>
      <c r="C67" s="7">
        <v>5482</v>
      </c>
      <c r="D67" s="8" t="s">
        <v>157</v>
      </c>
      <c r="E67" s="8">
        <v>0</v>
      </c>
    </row>
    <row r="68" spans="1:5" x14ac:dyDescent="0.2">
      <c r="A68" s="7" t="s">
        <v>103</v>
      </c>
      <c r="B68" s="7">
        <v>-1576</v>
      </c>
      <c r="C68" s="7">
        <v>791</v>
      </c>
      <c r="D68" s="8" t="s">
        <v>157</v>
      </c>
      <c r="E68" s="8">
        <v>0</v>
      </c>
    </row>
    <row r="69" spans="1:5" x14ac:dyDescent="0.2">
      <c r="A69" s="7" t="s">
        <v>42</v>
      </c>
      <c r="B69" s="7">
        <v>-18060</v>
      </c>
      <c r="C69" s="7">
        <v>-330</v>
      </c>
      <c r="D69" s="8" t="s">
        <v>175</v>
      </c>
      <c r="E69" s="8">
        <v>0</v>
      </c>
    </row>
    <row r="70" spans="1:5" x14ac:dyDescent="0.2">
      <c r="A70" s="7" t="s">
        <v>16</v>
      </c>
      <c r="B70" s="7">
        <v>10619</v>
      </c>
      <c r="C70" s="7">
        <v>-5664</v>
      </c>
      <c r="D70" s="8" t="s">
        <v>154</v>
      </c>
      <c r="E70" s="8">
        <v>0</v>
      </c>
    </row>
    <row r="71" spans="1:5" x14ac:dyDescent="0.2">
      <c r="A71" s="7" t="s">
        <v>119</v>
      </c>
      <c r="B71" s="7">
        <v>-246</v>
      </c>
      <c r="C71" s="7">
        <v>-2345</v>
      </c>
      <c r="D71" s="8" t="s">
        <v>158</v>
      </c>
      <c r="E71" s="8">
        <v>0</v>
      </c>
    </row>
    <row r="72" spans="1:5" x14ac:dyDescent="0.2">
      <c r="A72" s="7" t="s">
        <v>17</v>
      </c>
      <c r="B72" s="7">
        <v>778</v>
      </c>
      <c r="C72" s="7">
        <v>796</v>
      </c>
      <c r="D72" s="8" t="s">
        <v>154</v>
      </c>
      <c r="E72" s="8">
        <v>0</v>
      </c>
    </row>
    <row r="73" spans="1:5" x14ac:dyDescent="0.2">
      <c r="A73" s="7" t="s">
        <v>93</v>
      </c>
      <c r="B73" s="7">
        <v>374048</v>
      </c>
      <c r="C73" s="7">
        <v>27</v>
      </c>
      <c r="D73" s="8" t="s">
        <v>154</v>
      </c>
      <c r="E73" s="8">
        <v>0</v>
      </c>
    </row>
    <row r="74" spans="1:5" x14ac:dyDescent="0.2">
      <c r="A74" s="7" t="s">
        <v>94</v>
      </c>
      <c r="B74" s="7">
        <v>21708</v>
      </c>
      <c r="C74" s="7">
        <v>18014</v>
      </c>
      <c r="D74" s="8" t="s">
        <v>154</v>
      </c>
      <c r="E74" s="8">
        <v>0</v>
      </c>
    </row>
    <row r="75" spans="1:5" x14ac:dyDescent="0.2">
      <c r="A75" s="7" t="s">
        <v>95</v>
      </c>
      <c r="B75" s="7">
        <v>125129</v>
      </c>
      <c r="C75" s="7">
        <v>109353</v>
      </c>
      <c r="D75" s="8" t="s">
        <v>154</v>
      </c>
      <c r="E75" s="8">
        <v>0</v>
      </c>
    </row>
    <row r="76" spans="1:5" x14ac:dyDescent="0.2">
      <c r="A76" s="7" t="s">
        <v>50</v>
      </c>
      <c r="B76" s="7">
        <v>14247</v>
      </c>
      <c r="C76" s="7">
        <v>3815</v>
      </c>
      <c r="D76" s="8" t="s">
        <v>154</v>
      </c>
      <c r="E76" s="8">
        <v>0</v>
      </c>
    </row>
    <row r="77" spans="1:5" x14ac:dyDescent="0.2">
      <c r="A77" s="7" t="s">
        <v>96</v>
      </c>
      <c r="B77" s="7">
        <v>195000</v>
      </c>
      <c r="C77" s="7">
        <v>2187</v>
      </c>
      <c r="D77" s="8" t="s">
        <v>154</v>
      </c>
      <c r="E77" s="8">
        <v>0</v>
      </c>
    </row>
    <row r="78" spans="1:5" x14ac:dyDescent="0.2">
      <c r="A78" s="7" t="s">
        <v>62</v>
      </c>
      <c r="B78" s="7">
        <v>38471</v>
      </c>
      <c r="C78" s="7">
        <v>39220</v>
      </c>
      <c r="D78" s="8" t="s">
        <v>158</v>
      </c>
      <c r="E78" s="8">
        <v>0</v>
      </c>
    </row>
    <row r="79" spans="1:5" x14ac:dyDescent="0.2">
      <c r="A79" s="7" t="s">
        <v>36</v>
      </c>
      <c r="B79" s="7">
        <v>743509</v>
      </c>
      <c r="C79" s="8">
        <v>690106</v>
      </c>
      <c r="D79" s="8" t="s">
        <v>176</v>
      </c>
      <c r="E79" s="8">
        <v>0</v>
      </c>
    </row>
    <row r="80" spans="1:5" x14ac:dyDescent="0.2">
      <c r="A80" s="7" t="s">
        <v>36</v>
      </c>
      <c r="B80" s="7">
        <v>127752</v>
      </c>
      <c r="C80" s="8">
        <v>111699</v>
      </c>
      <c r="D80" s="8" t="s">
        <v>176</v>
      </c>
      <c r="E80" s="8">
        <v>0</v>
      </c>
    </row>
    <row r="81" spans="1:5" x14ac:dyDescent="0.2">
      <c r="A81" s="7" t="s">
        <v>36</v>
      </c>
      <c r="B81" s="7">
        <v>29780</v>
      </c>
      <c r="C81" s="7">
        <v>25565</v>
      </c>
      <c r="D81" s="8" t="s">
        <v>176</v>
      </c>
      <c r="E81" s="8">
        <v>0</v>
      </c>
    </row>
    <row r="82" spans="1:5" x14ac:dyDescent="0.2">
      <c r="A82" s="7" t="s">
        <v>36</v>
      </c>
      <c r="B82" s="7">
        <v>300303</v>
      </c>
      <c r="C82" s="8">
        <v>303077</v>
      </c>
      <c r="D82" s="8" t="s">
        <v>176</v>
      </c>
      <c r="E82" s="8">
        <v>0</v>
      </c>
    </row>
    <row r="83" spans="1:5" x14ac:dyDescent="0.2">
      <c r="A83" s="7" t="s">
        <v>36</v>
      </c>
      <c r="B83" s="7">
        <v>117048</v>
      </c>
      <c r="C83" s="7">
        <v>98682</v>
      </c>
      <c r="D83" s="8" t="s">
        <v>176</v>
      </c>
      <c r="E83" s="8">
        <v>0</v>
      </c>
    </row>
    <row r="84" spans="1:5" x14ac:dyDescent="0.2">
      <c r="A84" s="7" t="s">
        <v>36</v>
      </c>
      <c r="B84" s="7">
        <v>32974</v>
      </c>
      <c r="C84" s="7">
        <v>28612</v>
      </c>
      <c r="D84" s="8" t="s">
        <v>176</v>
      </c>
      <c r="E84" s="8">
        <v>0</v>
      </c>
    </row>
    <row r="85" spans="1:5" x14ac:dyDescent="0.2">
      <c r="A85" s="7" t="s">
        <v>36</v>
      </c>
      <c r="B85" s="7">
        <v>87268</v>
      </c>
      <c r="C85" s="7">
        <v>73117</v>
      </c>
      <c r="D85" s="8" t="s">
        <v>176</v>
      </c>
      <c r="E85" s="8">
        <v>0</v>
      </c>
    </row>
    <row r="86" spans="1:5" x14ac:dyDescent="0.2">
      <c r="A86" s="7" t="s">
        <v>36</v>
      </c>
      <c r="B86" s="7">
        <v>165432</v>
      </c>
      <c r="C86" s="7">
        <v>148036</v>
      </c>
      <c r="D86" s="8" t="s">
        <v>176</v>
      </c>
      <c r="E86" s="8">
        <v>0</v>
      </c>
    </row>
    <row r="87" spans="1:5" x14ac:dyDescent="0.2">
      <c r="A87" s="7" t="s">
        <v>36</v>
      </c>
      <c r="B87" s="7">
        <v>333277</v>
      </c>
      <c r="C87" s="7">
        <v>331689</v>
      </c>
      <c r="D87" s="8" t="s">
        <v>176</v>
      </c>
      <c r="E87" s="8">
        <v>0</v>
      </c>
    </row>
    <row r="88" spans="1:5" x14ac:dyDescent="0.2">
      <c r="A88" s="7" t="s">
        <v>36</v>
      </c>
      <c r="B88" s="7">
        <v>293184</v>
      </c>
      <c r="C88" s="8">
        <v>259735</v>
      </c>
      <c r="D88" s="8" t="s">
        <v>176</v>
      </c>
      <c r="E88" s="8">
        <v>0</v>
      </c>
    </row>
    <row r="89" spans="1:5" x14ac:dyDescent="0.2">
      <c r="A89" s="7" t="s">
        <v>36</v>
      </c>
      <c r="B89" s="7">
        <v>175339</v>
      </c>
      <c r="C89" s="7">
        <v>145148</v>
      </c>
      <c r="D89" s="8" t="s">
        <v>176</v>
      </c>
      <c r="E89" s="8">
        <v>0</v>
      </c>
    </row>
    <row r="90" spans="1:5" x14ac:dyDescent="0.2">
      <c r="A90" s="7" t="s">
        <v>36</v>
      </c>
      <c r="B90" s="7">
        <v>24871</v>
      </c>
      <c r="C90" s="7">
        <v>39604</v>
      </c>
      <c r="D90" s="8" t="s">
        <v>176</v>
      </c>
      <c r="E90" s="8">
        <v>0</v>
      </c>
    </row>
    <row r="91" spans="1:5" x14ac:dyDescent="0.2">
      <c r="A91" s="7" t="s">
        <v>36</v>
      </c>
      <c r="B91" s="7">
        <v>543299</v>
      </c>
      <c r="C91" s="7">
        <v>505354</v>
      </c>
      <c r="D91" s="8" t="s">
        <v>176</v>
      </c>
      <c r="E91" s="8">
        <v>0</v>
      </c>
    </row>
    <row r="92" spans="1:5" x14ac:dyDescent="0.2">
      <c r="A92" s="7" t="s">
        <v>36</v>
      </c>
      <c r="B92" s="7">
        <v>172752</v>
      </c>
      <c r="C92" s="7">
        <v>164737</v>
      </c>
      <c r="D92" s="8" t="s">
        <v>176</v>
      </c>
      <c r="E92" s="8">
        <v>0</v>
      </c>
    </row>
    <row r="93" spans="1:5" x14ac:dyDescent="0.2">
      <c r="A93" s="7" t="s">
        <v>36</v>
      </c>
      <c r="B93" s="7">
        <v>4971</v>
      </c>
      <c r="C93" s="7">
        <v>4722</v>
      </c>
      <c r="D93" s="8" t="s">
        <v>176</v>
      </c>
      <c r="E93" s="8">
        <v>0</v>
      </c>
    </row>
    <row r="94" spans="1:5" x14ac:dyDescent="0.2">
      <c r="A94" s="7" t="s">
        <v>36</v>
      </c>
      <c r="B94" s="7">
        <v>167781</v>
      </c>
      <c r="C94" s="7">
        <v>160015</v>
      </c>
      <c r="D94" s="8" t="s">
        <v>176</v>
      </c>
      <c r="E94" s="8">
        <v>0</v>
      </c>
    </row>
    <row r="95" spans="1:5" x14ac:dyDescent="0.2">
      <c r="A95" s="7" t="s">
        <v>36</v>
      </c>
      <c r="B95" s="7">
        <v>85219</v>
      </c>
      <c r="C95" s="8">
        <v>76253</v>
      </c>
      <c r="D95" s="8" t="s">
        <v>176</v>
      </c>
      <c r="E95" s="8">
        <v>0</v>
      </c>
    </row>
    <row r="96" spans="1:5" x14ac:dyDescent="0.2">
      <c r="A96" s="7" t="s">
        <v>36</v>
      </c>
      <c r="B96" s="7">
        <v>2338</v>
      </c>
      <c r="C96" s="7">
        <v>1425</v>
      </c>
      <c r="D96" s="8" t="s">
        <v>176</v>
      </c>
      <c r="E96" s="8">
        <v>0</v>
      </c>
    </row>
    <row r="97" spans="1:5" x14ac:dyDescent="0.2">
      <c r="A97" s="7" t="s">
        <v>36</v>
      </c>
      <c r="B97" s="7">
        <v>82881</v>
      </c>
      <c r="C97" s="7">
        <v>74828</v>
      </c>
      <c r="D97" s="8" t="s">
        <v>176</v>
      </c>
      <c r="E97" s="8">
        <v>0</v>
      </c>
    </row>
    <row r="98" spans="1:5" x14ac:dyDescent="0.2">
      <c r="A98" s="7" t="s">
        <v>36</v>
      </c>
      <c r="B98" s="7">
        <v>420199</v>
      </c>
      <c r="C98" s="7">
        <v>387995</v>
      </c>
      <c r="D98" s="8" t="s">
        <v>176</v>
      </c>
      <c r="E98" s="8">
        <v>0</v>
      </c>
    </row>
    <row r="99" spans="1:5" x14ac:dyDescent="0.2">
      <c r="A99" s="7" t="s">
        <v>36</v>
      </c>
      <c r="B99" s="7">
        <v>16422</v>
      </c>
      <c r="C99" s="7">
        <v>32110</v>
      </c>
      <c r="D99" s="8" t="s">
        <v>176</v>
      </c>
      <c r="E99" s="8">
        <v>0</v>
      </c>
    </row>
    <row r="100" spans="1:5" x14ac:dyDescent="0.2">
      <c r="A100" s="7" t="s">
        <v>36</v>
      </c>
      <c r="B100" s="7">
        <v>228438</v>
      </c>
      <c r="C100" s="7">
        <v>210737</v>
      </c>
      <c r="D100" s="8" t="s">
        <v>176</v>
      </c>
      <c r="E100" s="8">
        <v>0</v>
      </c>
    </row>
    <row r="101" spans="1:5" x14ac:dyDescent="0.2">
      <c r="A101" s="7" t="s">
        <v>71</v>
      </c>
      <c r="B101" s="7">
        <v>5460</v>
      </c>
      <c r="C101" s="7">
        <v>3672</v>
      </c>
      <c r="D101" s="8" t="s">
        <v>174</v>
      </c>
      <c r="E101" s="8">
        <v>0</v>
      </c>
    </row>
    <row r="102" spans="1:5" x14ac:dyDescent="0.2">
      <c r="A102" s="7" t="s">
        <v>63</v>
      </c>
      <c r="B102" s="7">
        <v>76835</v>
      </c>
      <c r="C102" s="7">
        <v>75160</v>
      </c>
      <c r="D102" s="8" t="s">
        <v>158</v>
      </c>
      <c r="E102" s="8">
        <v>0</v>
      </c>
    </row>
    <row r="103" spans="1:5" x14ac:dyDescent="0.2">
      <c r="A103" s="7" t="s">
        <v>97</v>
      </c>
      <c r="B103" s="7">
        <v>22969</v>
      </c>
      <c r="C103" s="7">
        <v>16278</v>
      </c>
      <c r="D103" s="8" t="s">
        <v>154</v>
      </c>
      <c r="E103" s="8">
        <v>0</v>
      </c>
    </row>
    <row r="104" spans="1:5" x14ac:dyDescent="0.2">
      <c r="A104" s="7" t="s">
        <v>69</v>
      </c>
      <c r="B104" s="7">
        <v>144</v>
      </c>
      <c r="C104" s="7">
        <v>198</v>
      </c>
      <c r="D104" s="8" t="s">
        <v>125</v>
      </c>
      <c r="E104" s="8">
        <v>0</v>
      </c>
    </row>
    <row r="105" spans="1:5" x14ac:dyDescent="0.2">
      <c r="A105" s="7" t="s">
        <v>126</v>
      </c>
      <c r="B105" s="7">
        <v>658</v>
      </c>
      <c r="C105" s="7">
        <v>1300</v>
      </c>
      <c r="D105" s="8" t="s">
        <v>125</v>
      </c>
      <c r="E105" s="8">
        <v>0</v>
      </c>
    </row>
    <row r="106" spans="1:5" x14ac:dyDescent="0.2">
      <c r="A106" s="7" t="s">
        <v>177</v>
      </c>
      <c r="B106" s="7">
        <v>37.200000000000053</v>
      </c>
      <c r="C106" s="7">
        <v>0</v>
      </c>
      <c r="D106" s="8" t="s">
        <v>178</v>
      </c>
      <c r="E106" s="8">
        <v>1</v>
      </c>
    </row>
    <row r="107" spans="1:5" x14ac:dyDescent="0.2">
      <c r="A107" s="7" t="s">
        <v>179</v>
      </c>
      <c r="B107" s="7">
        <v>627</v>
      </c>
      <c r="C107" s="7">
        <v>0</v>
      </c>
      <c r="D107" s="8" t="s">
        <v>180</v>
      </c>
      <c r="E107" s="8">
        <v>1</v>
      </c>
    </row>
    <row r="108" spans="1:5" x14ac:dyDescent="0.2">
      <c r="A108" s="7" t="s">
        <v>181</v>
      </c>
      <c r="B108" s="7">
        <v>369911</v>
      </c>
      <c r="C108" s="7">
        <v>0</v>
      </c>
      <c r="D108" s="8" t="s">
        <v>182</v>
      </c>
      <c r="E108" s="8">
        <v>1</v>
      </c>
    </row>
    <row r="109" spans="1:5" x14ac:dyDescent="0.2">
      <c r="A109" s="7" t="s">
        <v>70</v>
      </c>
      <c r="B109" s="7">
        <v>238</v>
      </c>
      <c r="C109" s="7">
        <v>1033</v>
      </c>
      <c r="D109" s="8" t="s">
        <v>125</v>
      </c>
      <c r="E109" s="8">
        <v>0</v>
      </c>
    </row>
    <row r="110" spans="1:5" x14ac:dyDescent="0.2">
      <c r="A110" s="7" t="s">
        <v>34</v>
      </c>
      <c r="B110" s="7">
        <v>-199</v>
      </c>
      <c r="C110" s="7">
        <v>-116</v>
      </c>
      <c r="D110" s="8" t="s">
        <v>165</v>
      </c>
      <c r="E110" s="8">
        <v>0</v>
      </c>
    </row>
    <row r="111" spans="1:5" x14ac:dyDescent="0.2">
      <c r="A111" s="7" t="s">
        <v>35</v>
      </c>
      <c r="B111" s="7">
        <v>-215</v>
      </c>
      <c r="C111" s="7">
        <v>-118</v>
      </c>
      <c r="D111" s="8" t="s">
        <v>165</v>
      </c>
      <c r="E111" s="8">
        <v>0</v>
      </c>
    </row>
    <row r="112" spans="1:5" x14ac:dyDescent="0.2">
      <c r="A112" s="7" t="s">
        <v>183</v>
      </c>
      <c r="B112" s="7">
        <v>70920</v>
      </c>
      <c r="C112" s="7">
        <v>52098</v>
      </c>
      <c r="D112" s="8" t="s">
        <v>184</v>
      </c>
      <c r="E112" s="8">
        <v>0</v>
      </c>
    </row>
    <row r="113" spans="1:5" x14ac:dyDescent="0.2">
      <c r="A113" s="7" t="s">
        <v>185</v>
      </c>
      <c r="B113" s="7">
        <v>32330</v>
      </c>
      <c r="C113" s="7">
        <v>33321</v>
      </c>
      <c r="D113" s="8" t="s">
        <v>184</v>
      </c>
      <c r="E113" s="8">
        <v>0</v>
      </c>
    </row>
    <row r="114" spans="1:5" x14ac:dyDescent="0.2">
      <c r="A114" s="7" t="s">
        <v>186</v>
      </c>
      <c r="B114" s="7">
        <v>37542</v>
      </c>
      <c r="C114" s="7">
        <v>35203</v>
      </c>
      <c r="D114" s="8" t="s">
        <v>184</v>
      </c>
      <c r="E114" s="8">
        <v>0</v>
      </c>
    </row>
    <row r="115" spans="1:5" x14ac:dyDescent="0.2">
      <c r="A115" s="7" t="s">
        <v>187</v>
      </c>
      <c r="B115" s="7">
        <v>1.3</v>
      </c>
      <c r="C115" s="7">
        <v>1</v>
      </c>
      <c r="D115" s="8" t="s">
        <v>188</v>
      </c>
      <c r="E115" s="8">
        <v>0</v>
      </c>
    </row>
    <row r="116" spans="1:5" x14ac:dyDescent="0.2">
      <c r="A116" s="7" t="s">
        <v>189</v>
      </c>
      <c r="B116" s="7">
        <v>5.7</v>
      </c>
      <c r="C116" s="7">
        <v>7.6</v>
      </c>
      <c r="D116" s="8" t="s">
        <v>190</v>
      </c>
      <c r="E116" s="8">
        <v>0</v>
      </c>
    </row>
    <row r="117" spans="1:5" x14ac:dyDescent="0.2">
      <c r="A117" s="7" t="s">
        <v>189</v>
      </c>
      <c r="B117" s="7">
        <v>1.4</v>
      </c>
      <c r="C117" s="7">
        <v>0.1</v>
      </c>
      <c r="D117" s="8" t="s">
        <v>190</v>
      </c>
      <c r="E117" s="8">
        <v>0</v>
      </c>
    </row>
    <row r="118" spans="1:5" x14ac:dyDescent="0.2">
      <c r="A118" s="7" t="s">
        <v>191</v>
      </c>
      <c r="B118" s="7">
        <v>485</v>
      </c>
      <c r="C118" s="7">
        <v>522</v>
      </c>
      <c r="D118" s="8" t="s">
        <v>192</v>
      </c>
      <c r="E118" s="8">
        <v>0</v>
      </c>
    </row>
    <row r="119" spans="1:5" x14ac:dyDescent="0.2">
      <c r="A119" s="7" t="s">
        <v>193</v>
      </c>
      <c r="B119" s="7">
        <v>444.51</v>
      </c>
      <c r="C119" s="7">
        <v>346.44</v>
      </c>
      <c r="D119" s="8" t="s">
        <v>192</v>
      </c>
      <c r="E119" s="8">
        <v>0</v>
      </c>
    </row>
    <row r="120" spans="1:5" x14ac:dyDescent="0.2">
      <c r="A120" s="7" t="s">
        <v>19</v>
      </c>
      <c r="B120" s="8">
        <v>14517</v>
      </c>
      <c r="C120" s="7">
        <v>9812</v>
      </c>
      <c r="D120" s="8" t="s">
        <v>194</v>
      </c>
      <c r="E120" s="8">
        <v>0</v>
      </c>
    </row>
    <row r="121" spans="1:5" x14ac:dyDescent="0.2">
      <c r="A121" s="7" t="s">
        <v>114</v>
      </c>
      <c r="B121" s="7">
        <v>820709</v>
      </c>
      <c r="C121" s="7">
        <v>839555</v>
      </c>
      <c r="D121" s="8" t="s">
        <v>195</v>
      </c>
      <c r="E121" s="8">
        <v>0</v>
      </c>
    </row>
    <row r="122" spans="1:5" x14ac:dyDescent="0.2">
      <c r="A122" s="7" t="s">
        <v>104</v>
      </c>
      <c r="B122" s="7">
        <v>37989</v>
      </c>
      <c r="C122" s="7">
        <v>24709</v>
      </c>
      <c r="D122" s="8" t="s">
        <v>194</v>
      </c>
      <c r="E122" s="8">
        <v>0</v>
      </c>
    </row>
    <row r="123" spans="1:5" x14ac:dyDescent="0.2">
      <c r="A123" s="7" t="s">
        <v>196</v>
      </c>
      <c r="B123" s="7">
        <v>179905</v>
      </c>
      <c r="C123" s="7">
        <v>211736</v>
      </c>
      <c r="D123" s="8" t="s">
        <v>197</v>
      </c>
      <c r="E123" s="8">
        <v>0</v>
      </c>
    </row>
    <row r="124" spans="1:5" x14ac:dyDescent="0.2">
      <c r="A124" s="7" t="s">
        <v>51</v>
      </c>
      <c r="B124" s="7">
        <v>-71040</v>
      </c>
      <c r="C124" s="7">
        <v>-61352</v>
      </c>
      <c r="D124" s="8" t="s">
        <v>194</v>
      </c>
      <c r="E124" s="8">
        <v>0</v>
      </c>
    </row>
    <row r="125" spans="1:5" x14ac:dyDescent="0.2">
      <c r="A125" s="7" t="s">
        <v>105</v>
      </c>
      <c r="B125" s="7">
        <v>1683693</v>
      </c>
      <c r="C125" s="7">
        <v>1587670</v>
      </c>
      <c r="D125" s="8" t="s">
        <v>194</v>
      </c>
      <c r="E125" s="8">
        <v>0</v>
      </c>
    </row>
    <row r="126" spans="1:5" x14ac:dyDescent="0.2">
      <c r="A126" s="7" t="s">
        <v>111</v>
      </c>
      <c r="B126" s="7">
        <v>5284</v>
      </c>
      <c r="C126" s="7">
        <v>3968</v>
      </c>
      <c r="D126" s="8" t="s">
        <v>198</v>
      </c>
      <c r="E126" s="8">
        <v>0</v>
      </c>
    </row>
    <row r="127" spans="1:5" x14ac:dyDescent="0.2">
      <c r="A127" s="7" t="s">
        <v>20</v>
      </c>
      <c r="B127" s="15">
        <v>5445439</v>
      </c>
      <c r="C127" s="7">
        <v>5518219</v>
      </c>
      <c r="D127" s="8" t="s">
        <v>194</v>
      </c>
      <c r="E127" s="8">
        <v>0</v>
      </c>
    </row>
    <row r="128" spans="1:5" x14ac:dyDescent="0.2">
      <c r="A128" s="7" t="s">
        <v>21</v>
      </c>
      <c r="B128" s="15">
        <v>1344021</v>
      </c>
      <c r="C128" s="17">
        <v>1418153</v>
      </c>
      <c r="D128" s="8" t="s">
        <v>194</v>
      </c>
      <c r="E128" s="8">
        <v>0</v>
      </c>
    </row>
    <row r="129" spans="1:5" x14ac:dyDescent="0.2">
      <c r="A129" s="7" t="s">
        <v>199</v>
      </c>
      <c r="B129" s="15">
        <v>409351</v>
      </c>
      <c r="C129" s="17">
        <v>461693</v>
      </c>
      <c r="D129" s="8" t="s">
        <v>194</v>
      </c>
      <c r="E129" s="8">
        <v>0</v>
      </c>
    </row>
    <row r="130" spans="1:5" x14ac:dyDescent="0.2">
      <c r="A130" s="7" t="s">
        <v>28</v>
      </c>
      <c r="B130" s="15">
        <v>0.01</v>
      </c>
      <c r="C130" s="17">
        <v>0.01</v>
      </c>
      <c r="D130" s="8" t="s">
        <v>200</v>
      </c>
      <c r="E130" s="8">
        <v>0</v>
      </c>
    </row>
    <row r="131" spans="1:5" x14ac:dyDescent="0.2">
      <c r="A131" s="7" t="s">
        <v>58</v>
      </c>
      <c r="B131" s="15">
        <v>750000000</v>
      </c>
      <c r="C131" s="17">
        <v>750000000</v>
      </c>
      <c r="D131" s="8" t="s">
        <v>200</v>
      </c>
      <c r="E131" s="8">
        <v>0</v>
      </c>
    </row>
    <row r="132" spans="1:5" x14ac:dyDescent="0.2">
      <c r="A132" s="7" t="s">
        <v>60</v>
      </c>
      <c r="B132" s="15">
        <v>134079855</v>
      </c>
      <c r="C132" s="17">
        <v>133817332</v>
      </c>
      <c r="D132" s="8" t="s">
        <v>201</v>
      </c>
      <c r="E132" s="8">
        <v>0</v>
      </c>
    </row>
    <row r="133" spans="1:5" x14ac:dyDescent="0.2">
      <c r="A133" s="7" t="s">
        <v>112</v>
      </c>
      <c r="B133" s="15">
        <v>77744588</v>
      </c>
      <c r="C133" s="17">
        <v>79091212</v>
      </c>
      <c r="D133" s="8" t="s">
        <v>201</v>
      </c>
      <c r="E133" s="8">
        <v>0</v>
      </c>
    </row>
    <row r="134" spans="1:5" x14ac:dyDescent="0.2">
      <c r="A134" s="7" t="s">
        <v>52</v>
      </c>
      <c r="B134" s="16">
        <v>1341</v>
      </c>
      <c r="C134" s="18">
        <v>1338</v>
      </c>
      <c r="D134" s="8" t="s">
        <v>194</v>
      </c>
      <c r="E134" s="8">
        <v>0</v>
      </c>
    </row>
    <row r="135" spans="1:5" x14ac:dyDescent="0.2">
      <c r="A135" s="7" t="s">
        <v>202</v>
      </c>
      <c r="B135" s="16">
        <v>1542</v>
      </c>
      <c r="C135" s="18">
        <v>897</v>
      </c>
      <c r="D135" s="8" t="s">
        <v>197</v>
      </c>
      <c r="E135" s="8">
        <v>0</v>
      </c>
    </row>
    <row r="136" spans="1:5" x14ac:dyDescent="0.2">
      <c r="A136" s="7" t="s">
        <v>40</v>
      </c>
      <c r="B136" s="15">
        <v>1123423</v>
      </c>
      <c r="C136" s="17">
        <v>1083864</v>
      </c>
      <c r="D136" s="8" t="s">
        <v>195</v>
      </c>
      <c r="E136" s="8">
        <v>0</v>
      </c>
    </row>
    <row r="137" spans="1:5" x14ac:dyDescent="0.2">
      <c r="A137" s="7" t="s">
        <v>128</v>
      </c>
      <c r="B137" s="7">
        <v>32.200000000000003</v>
      </c>
      <c r="C137" s="7">
        <v>28.8</v>
      </c>
      <c r="D137" s="8" t="s">
        <v>129</v>
      </c>
      <c r="E137" s="8">
        <v>0</v>
      </c>
    </row>
    <row r="138" spans="1:5" x14ac:dyDescent="0.2">
      <c r="A138" s="7" t="s">
        <v>121</v>
      </c>
      <c r="B138" s="15">
        <v>4147217</v>
      </c>
      <c r="C138" s="17">
        <v>4124310</v>
      </c>
      <c r="D138" s="8" t="s">
        <v>203</v>
      </c>
      <c r="E138" s="8">
        <v>0</v>
      </c>
    </row>
    <row r="139" spans="1:5" x14ac:dyDescent="0.2">
      <c r="A139" s="7" t="s">
        <v>121</v>
      </c>
      <c r="B139" s="15">
        <v>944070</v>
      </c>
      <c r="C139" s="17">
        <v>941090</v>
      </c>
      <c r="D139" s="8" t="s">
        <v>203</v>
      </c>
      <c r="E139" s="8">
        <v>0</v>
      </c>
    </row>
    <row r="140" spans="1:5" x14ac:dyDescent="0.2">
      <c r="A140" s="7" t="s">
        <v>121</v>
      </c>
      <c r="B140" s="15">
        <v>918400</v>
      </c>
      <c r="C140" s="17">
        <v>914360</v>
      </c>
      <c r="D140" s="8" t="s">
        <v>203</v>
      </c>
      <c r="E140" s="8">
        <v>0</v>
      </c>
    </row>
    <row r="141" spans="1:5" x14ac:dyDescent="0.2">
      <c r="A141" s="7" t="s">
        <v>121</v>
      </c>
      <c r="B141" s="15">
        <v>820845</v>
      </c>
      <c r="C141" s="17">
        <v>815526</v>
      </c>
      <c r="D141" s="8" t="s">
        <v>203</v>
      </c>
      <c r="E141" s="8">
        <v>0</v>
      </c>
    </row>
    <row r="142" spans="1:5" x14ac:dyDescent="0.2">
      <c r="A142" s="7" t="s">
        <v>121</v>
      </c>
      <c r="B142" s="15">
        <v>538350</v>
      </c>
      <c r="C142" s="15">
        <v>529458</v>
      </c>
      <c r="D142" s="8" t="s">
        <v>203</v>
      </c>
      <c r="E142" s="8">
        <v>0</v>
      </c>
    </row>
    <row r="143" spans="1:5" x14ac:dyDescent="0.2">
      <c r="A143" s="7" t="s">
        <v>121</v>
      </c>
      <c r="B143" s="15">
        <v>592046</v>
      </c>
      <c r="C143" s="17">
        <v>586509</v>
      </c>
      <c r="D143" s="8" t="s">
        <v>203</v>
      </c>
      <c r="E143" s="8">
        <v>0</v>
      </c>
    </row>
    <row r="144" spans="1:5" x14ac:dyDescent="0.2">
      <c r="A144" s="7" t="s">
        <v>53</v>
      </c>
      <c r="B144" s="16">
        <v>40626</v>
      </c>
      <c r="C144" s="18">
        <v>41074</v>
      </c>
      <c r="D144" s="8" t="s">
        <v>194</v>
      </c>
      <c r="E144" s="8">
        <v>0</v>
      </c>
    </row>
    <row r="145" spans="1:5" x14ac:dyDescent="0.2">
      <c r="A145" s="7" t="s">
        <v>204</v>
      </c>
      <c r="B145" s="16">
        <v>189708</v>
      </c>
      <c r="C145" s="18">
        <v>201449</v>
      </c>
      <c r="D145" s="8" t="s">
        <v>184</v>
      </c>
      <c r="E145" s="8">
        <v>0</v>
      </c>
    </row>
    <row r="146" spans="1:5" x14ac:dyDescent="0.2">
      <c r="A146" s="7" t="s">
        <v>22</v>
      </c>
      <c r="B146" s="15">
        <v>47623</v>
      </c>
      <c r="C146" s="17">
        <v>27028</v>
      </c>
      <c r="D146" s="8" t="s">
        <v>194</v>
      </c>
      <c r="E146" s="8">
        <v>0</v>
      </c>
    </row>
    <row r="147" spans="1:5" x14ac:dyDescent="0.2">
      <c r="A147" s="7" t="s">
        <v>205</v>
      </c>
      <c r="B147" s="7">
        <v>5.8</v>
      </c>
      <c r="C147" s="8">
        <v>10.1</v>
      </c>
      <c r="D147" s="8" t="s">
        <v>190</v>
      </c>
      <c r="E147" s="8">
        <v>0</v>
      </c>
    </row>
    <row r="148" spans="1:5" x14ac:dyDescent="0.2">
      <c r="A148" s="7" t="s">
        <v>206</v>
      </c>
      <c r="B148" s="15">
        <v>324</v>
      </c>
      <c r="C148" s="17">
        <v>65370</v>
      </c>
      <c r="D148" s="8" t="s">
        <v>184</v>
      </c>
      <c r="E148" s="8">
        <v>0</v>
      </c>
    </row>
    <row r="149" spans="1:5" x14ac:dyDescent="0.2">
      <c r="A149" s="7" t="s">
        <v>207</v>
      </c>
      <c r="B149" s="15">
        <v>2986</v>
      </c>
      <c r="C149" s="17">
        <v>11586</v>
      </c>
      <c r="D149" s="8" t="s">
        <v>184</v>
      </c>
      <c r="E149" s="8">
        <v>0</v>
      </c>
    </row>
    <row r="150" spans="1:5" x14ac:dyDescent="0.2">
      <c r="A150" s="7" t="s">
        <v>208</v>
      </c>
      <c r="B150" s="15">
        <v>187591</v>
      </c>
      <c r="C150" s="17">
        <v>215521</v>
      </c>
      <c r="D150" s="8" t="s">
        <v>184</v>
      </c>
      <c r="E150" s="8">
        <v>0</v>
      </c>
    </row>
    <row r="151" spans="1:5" x14ac:dyDescent="0.2">
      <c r="A151" s="7" t="s">
        <v>209</v>
      </c>
      <c r="B151" s="15">
        <v>182711</v>
      </c>
      <c r="C151" s="17">
        <v>215495</v>
      </c>
      <c r="D151" s="8" t="s">
        <v>184</v>
      </c>
      <c r="E151" s="8">
        <v>0</v>
      </c>
    </row>
    <row r="152" spans="1:5" x14ac:dyDescent="0.2">
      <c r="A152" s="7" t="s">
        <v>210</v>
      </c>
      <c r="B152" s="15">
        <v>7059</v>
      </c>
      <c r="C152" s="17">
        <v>7752</v>
      </c>
      <c r="D152" s="8" t="s">
        <v>184</v>
      </c>
      <c r="E152" s="8">
        <v>0</v>
      </c>
    </row>
    <row r="153" spans="1:5" x14ac:dyDescent="0.2">
      <c r="A153" s="7" t="s">
        <v>211</v>
      </c>
      <c r="B153" s="15">
        <v>8546</v>
      </c>
      <c r="C153" s="17">
        <v>4434</v>
      </c>
      <c r="D153" s="8" t="s">
        <v>184</v>
      </c>
      <c r="E153" s="8">
        <v>0</v>
      </c>
    </row>
    <row r="154" spans="1:5" x14ac:dyDescent="0.2">
      <c r="A154" s="7" t="s">
        <v>212</v>
      </c>
      <c r="B154" s="15">
        <v>28075</v>
      </c>
      <c r="C154" s="17">
        <v>12179</v>
      </c>
      <c r="D154" s="8" t="s">
        <v>213</v>
      </c>
      <c r="E154" s="8">
        <v>0</v>
      </c>
    </row>
    <row r="155" spans="1:5" x14ac:dyDescent="0.2">
      <c r="A155" s="7" t="s">
        <v>212</v>
      </c>
      <c r="B155" s="15">
        <v>22.3</v>
      </c>
      <c r="C155" s="17">
        <v>2.1</v>
      </c>
      <c r="D155" s="8" t="s">
        <v>213</v>
      </c>
      <c r="E155" s="8">
        <v>0</v>
      </c>
    </row>
    <row r="156" spans="1:5" x14ac:dyDescent="0.2">
      <c r="A156" s="7" t="s">
        <v>214</v>
      </c>
      <c r="B156" s="15">
        <v>37351</v>
      </c>
      <c r="C156" s="17">
        <v>28781</v>
      </c>
      <c r="D156" s="8" t="s">
        <v>184</v>
      </c>
      <c r="E156" s="8">
        <v>0</v>
      </c>
    </row>
    <row r="157" spans="1:5" x14ac:dyDescent="0.2">
      <c r="A157" s="7" t="s">
        <v>215</v>
      </c>
      <c r="B157" s="15">
        <v>4880</v>
      </c>
      <c r="C157" s="17">
        <v>26</v>
      </c>
      <c r="D157" s="8" t="s">
        <v>213</v>
      </c>
      <c r="E157" s="8">
        <v>0</v>
      </c>
    </row>
    <row r="158" spans="1:5" x14ac:dyDescent="0.2">
      <c r="A158" s="7" t="s">
        <v>216</v>
      </c>
      <c r="B158" s="15">
        <v>115877</v>
      </c>
      <c r="C158" s="17">
        <v>130231</v>
      </c>
      <c r="D158" s="8" t="s">
        <v>184</v>
      </c>
      <c r="E158" s="8">
        <v>0</v>
      </c>
    </row>
    <row r="159" spans="1:5" x14ac:dyDescent="0.2">
      <c r="A159" s="7" t="s">
        <v>217</v>
      </c>
      <c r="B159" s="15">
        <v>25247</v>
      </c>
      <c r="C159" s="17">
        <v>26016</v>
      </c>
      <c r="D159" s="8" t="s">
        <v>184</v>
      </c>
      <c r="E159" s="8">
        <v>0</v>
      </c>
    </row>
    <row r="160" spans="1:5" x14ac:dyDescent="0.2">
      <c r="A160" s="7" t="s">
        <v>218</v>
      </c>
      <c r="B160" s="15">
        <v>5147</v>
      </c>
      <c r="C160" s="17">
        <v>7796</v>
      </c>
      <c r="D160" s="8" t="s">
        <v>184</v>
      </c>
      <c r="E160" s="8">
        <v>0</v>
      </c>
    </row>
    <row r="161" spans="1:5" x14ac:dyDescent="0.2">
      <c r="A161" s="7" t="s">
        <v>219</v>
      </c>
      <c r="B161" s="15">
        <v>5895</v>
      </c>
      <c r="C161" s="17">
        <v>2203</v>
      </c>
      <c r="D161" s="8" t="s">
        <v>184</v>
      </c>
      <c r="E161" s="8">
        <v>0</v>
      </c>
    </row>
    <row r="162" spans="1:5" x14ac:dyDescent="0.2">
      <c r="A162" s="7" t="s">
        <v>220</v>
      </c>
      <c r="B162" s="15">
        <v>31.1</v>
      </c>
      <c r="C162" s="17">
        <v>30.9</v>
      </c>
      <c r="D162" s="8" t="s">
        <v>188</v>
      </c>
      <c r="E162" s="8">
        <v>0</v>
      </c>
    </row>
    <row r="163" spans="1:5" x14ac:dyDescent="0.2">
      <c r="A163" s="7" t="s">
        <v>221</v>
      </c>
      <c r="B163" s="7">
        <v>25.9</v>
      </c>
      <c r="C163" s="8">
        <v>27.2</v>
      </c>
      <c r="D163" s="8" t="s">
        <v>188</v>
      </c>
      <c r="E163" s="8">
        <v>0</v>
      </c>
    </row>
    <row r="164" spans="1:5" x14ac:dyDescent="0.2">
      <c r="A164" s="7" t="s">
        <v>222</v>
      </c>
      <c r="B164" s="15">
        <v>1</v>
      </c>
      <c r="C164" s="17">
        <v>1.4</v>
      </c>
      <c r="D164" s="8" t="s">
        <v>188</v>
      </c>
      <c r="E164" s="8">
        <v>0</v>
      </c>
    </row>
    <row r="165" spans="1:5" x14ac:dyDescent="0.2">
      <c r="A165" s="7" t="s">
        <v>223</v>
      </c>
      <c r="B165" s="15">
        <v>31.4</v>
      </c>
      <c r="C165" s="17">
        <v>31.8</v>
      </c>
      <c r="D165" s="8" t="s">
        <v>188</v>
      </c>
      <c r="E165" s="8">
        <v>0</v>
      </c>
    </row>
    <row r="166" spans="1:5" x14ac:dyDescent="0.2">
      <c r="A166" s="7" t="s">
        <v>224</v>
      </c>
      <c r="B166" s="15">
        <v>1585</v>
      </c>
      <c r="C166" s="17">
        <v>1941</v>
      </c>
      <c r="D166" s="8" t="s">
        <v>154</v>
      </c>
      <c r="E166" s="8">
        <v>0</v>
      </c>
    </row>
    <row r="167" spans="1:5" x14ac:dyDescent="0.2">
      <c r="A167" s="7" t="s">
        <v>23</v>
      </c>
      <c r="B167" s="15">
        <v>217492</v>
      </c>
      <c r="C167" s="17">
        <v>219456</v>
      </c>
      <c r="D167" s="8" t="s">
        <v>194</v>
      </c>
      <c r="E167" s="8">
        <v>0</v>
      </c>
    </row>
    <row r="168" spans="1:5" x14ac:dyDescent="0.2">
      <c r="A168" s="7" t="s">
        <v>65</v>
      </c>
      <c r="B168" s="15">
        <v>1042899</v>
      </c>
      <c r="C168" s="17">
        <v>880543</v>
      </c>
      <c r="D168" s="8" t="s">
        <v>225</v>
      </c>
      <c r="E168" s="8">
        <v>0</v>
      </c>
    </row>
    <row r="169" spans="1:5" x14ac:dyDescent="0.2">
      <c r="A169" s="7" t="s">
        <v>65</v>
      </c>
      <c r="B169" s="15">
        <v>199090</v>
      </c>
      <c r="C169" s="17">
        <v>185583</v>
      </c>
      <c r="D169" s="8" t="s">
        <v>225</v>
      </c>
      <c r="E169" s="8">
        <v>0</v>
      </c>
    </row>
    <row r="170" spans="1:5" x14ac:dyDescent="0.2">
      <c r="A170" s="7" t="s">
        <v>65</v>
      </c>
      <c r="B170" s="15">
        <v>104980</v>
      </c>
      <c r="C170" s="17">
        <v>64694</v>
      </c>
      <c r="D170" s="8" t="s">
        <v>225</v>
      </c>
      <c r="E170" s="8">
        <v>0</v>
      </c>
    </row>
    <row r="171" spans="1:5" x14ac:dyDescent="0.2">
      <c r="A171" s="7" t="s">
        <v>65</v>
      </c>
      <c r="B171" s="7">
        <v>379087</v>
      </c>
      <c r="C171" s="8">
        <v>340248</v>
      </c>
      <c r="D171" s="8" t="s">
        <v>225</v>
      </c>
      <c r="E171" s="8">
        <v>0</v>
      </c>
    </row>
    <row r="172" spans="1:5" x14ac:dyDescent="0.2">
      <c r="A172" s="7" t="s">
        <v>65</v>
      </c>
      <c r="B172" s="15">
        <v>178221</v>
      </c>
      <c r="C172" s="17">
        <v>118303</v>
      </c>
      <c r="D172" s="8" t="s">
        <v>225</v>
      </c>
      <c r="E172" s="8">
        <v>0</v>
      </c>
    </row>
    <row r="173" spans="1:5" x14ac:dyDescent="0.2">
      <c r="A173" s="7" t="s">
        <v>65</v>
      </c>
      <c r="B173" s="15">
        <v>181521</v>
      </c>
      <c r="C173" s="17">
        <v>171715</v>
      </c>
      <c r="D173" s="8" t="s">
        <v>225</v>
      </c>
      <c r="E173" s="8">
        <v>0</v>
      </c>
    </row>
    <row r="174" spans="1:5" x14ac:dyDescent="0.2">
      <c r="A174" s="7" t="s">
        <v>66</v>
      </c>
      <c r="B174" s="15">
        <v>1950512</v>
      </c>
      <c r="C174" s="17">
        <v>1836777</v>
      </c>
      <c r="D174" s="8" t="s">
        <v>225</v>
      </c>
      <c r="E174" s="8">
        <v>0</v>
      </c>
    </row>
    <row r="175" spans="1:5" x14ac:dyDescent="0.2">
      <c r="A175" s="7" t="s">
        <v>66</v>
      </c>
      <c r="B175" s="15">
        <v>256794</v>
      </c>
      <c r="C175" s="17">
        <v>228785</v>
      </c>
      <c r="D175" s="8" t="s">
        <v>225</v>
      </c>
      <c r="E175" s="8">
        <v>0</v>
      </c>
    </row>
    <row r="176" spans="1:5" x14ac:dyDescent="0.2">
      <c r="A176" s="7" t="s">
        <v>66</v>
      </c>
      <c r="B176" s="15">
        <v>452813</v>
      </c>
      <c r="C176" s="17">
        <v>452543</v>
      </c>
      <c r="D176" s="8" t="s">
        <v>225</v>
      </c>
      <c r="E176" s="8">
        <v>0</v>
      </c>
    </row>
    <row r="177" spans="1:5" x14ac:dyDescent="0.2">
      <c r="A177" s="7" t="s">
        <v>66</v>
      </c>
      <c r="B177" s="15">
        <v>715020</v>
      </c>
      <c r="C177" s="17">
        <v>709299</v>
      </c>
      <c r="D177" s="8" t="s">
        <v>225</v>
      </c>
      <c r="E177" s="8">
        <v>0</v>
      </c>
    </row>
    <row r="178" spans="1:5" x14ac:dyDescent="0.2">
      <c r="A178" s="7" t="s">
        <v>66</v>
      </c>
      <c r="B178" s="15">
        <v>316795</v>
      </c>
      <c r="C178" s="17">
        <v>237060</v>
      </c>
      <c r="D178" s="8" t="s">
        <v>225</v>
      </c>
      <c r="E178" s="8">
        <v>0</v>
      </c>
    </row>
    <row r="179" spans="1:5" x14ac:dyDescent="0.2">
      <c r="A179" s="7" t="s">
        <v>66</v>
      </c>
      <c r="B179" s="7">
        <v>209090</v>
      </c>
      <c r="C179" s="8">
        <v>209090</v>
      </c>
      <c r="D179" s="8" t="s">
        <v>225</v>
      </c>
      <c r="E179" s="8">
        <v>0</v>
      </c>
    </row>
    <row r="180" spans="1:5" x14ac:dyDescent="0.2">
      <c r="A180" s="7" t="s">
        <v>61</v>
      </c>
      <c r="B180" s="15">
        <v>907613</v>
      </c>
      <c r="C180" s="17">
        <v>956234</v>
      </c>
      <c r="D180" s="8" t="s">
        <v>226</v>
      </c>
      <c r="E180" s="8">
        <v>0</v>
      </c>
    </row>
    <row r="181" spans="1:5" x14ac:dyDescent="0.2">
      <c r="A181" s="7" t="s">
        <v>61</v>
      </c>
      <c r="B181" s="15">
        <v>57704</v>
      </c>
      <c r="C181" s="17">
        <v>43202</v>
      </c>
      <c r="D181" s="8" t="s">
        <v>226</v>
      </c>
      <c r="E181">
        <v>0</v>
      </c>
    </row>
    <row r="182" spans="1:5" x14ac:dyDescent="0.2">
      <c r="A182" s="7" t="s">
        <v>61</v>
      </c>
      <c r="B182" s="15">
        <v>347833</v>
      </c>
      <c r="C182" s="17">
        <v>387849</v>
      </c>
      <c r="D182" s="8" t="s">
        <v>226</v>
      </c>
      <c r="E182">
        <v>0</v>
      </c>
    </row>
    <row r="183" spans="1:5" x14ac:dyDescent="0.2">
      <c r="A183" s="7" t="s">
        <v>61</v>
      </c>
      <c r="B183" s="15">
        <v>335933</v>
      </c>
      <c r="C183" s="17">
        <v>369051</v>
      </c>
      <c r="D183" s="8" t="s">
        <v>226</v>
      </c>
      <c r="E183">
        <v>0</v>
      </c>
    </row>
    <row r="184" spans="1:5" x14ac:dyDescent="0.2">
      <c r="A184" s="7" t="s">
        <v>61</v>
      </c>
      <c r="B184" s="15">
        <v>138574</v>
      </c>
      <c r="C184" s="17">
        <v>118757</v>
      </c>
      <c r="D184" s="8" t="s">
        <v>226</v>
      </c>
      <c r="E184">
        <v>0</v>
      </c>
    </row>
    <row r="185" spans="1:5" x14ac:dyDescent="0.2">
      <c r="A185" s="7" t="s">
        <v>61</v>
      </c>
      <c r="B185" s="15">
        <v>27569</v>
      </c>
      <c r="C185" s="17">
        <v>37375</v>
      </c>
      <c r="D185" s="8" t="s">
        <v>226</v>
      </c>
      <c r="E185">
        <v>0</v>
      </c>
    </row>
    <row r="186" spans="1:5" x14ac:dyDescent="0.2">
      <c r="A186" s="7" t="s">
        <v>227</v>
      </c>
      <c r="B186" s="15">
        <v>15489</v>
      </c>
      <c r="C186" s="17">
        <v>16169</v>
      </c>
      <c r="D186" s="8" t="s">
        <v>197</v>
      </c>
      <c r="E186">
        <v>0</v>
      </c>
    </row>
    <row r="187" spans="1:5" x14ac:dyDescent="0.2">
      <c r="A187" s="7" t="s">
        <v>24</v>
      </c>
      <c r="B187" s="15">
        <v>2915167</v>
      </c>
      <c r="C187" s="17">
        <v>2887692</v>
      </c>
      <c r="D187" s="8" t="s">
        <v>228</v>
      </c>
      <c r="E187">
        <v>0</v>
      </c>
    </row>
    <row r="188" spans="1:5" x14ac:dyDescent="0.2">
      <c r="A188" s="7" t="s">
        <v>24</v>
      </c>
      <c r="B188" s="15">
        <v>296880</v>
      </c>
      <c r="C188" s="17">
        <v>290976</v>
      </c>
      <c r="D188" s="8" t="s">
        <v>228</v>
      </c>
      <c r="E188">
        <v>0</v>
      </c>
    </row>
    <row r="189" spans="1:5" x14ac:dyDescent="0.2">
      <c r="A189" s="7" t="s">
        <v>24</v>
      </c>
      <c r="B189" s="15">
        <v>83703</v>
      </c>
      <c r="C189" s="17">
        <v>84724</v>
      </c>
      <c r="D189" s="8" t="s">
        <v>228</v>
      </c>
      <c r="E189">
        <v>0</v>
      </c>
    </row>
    <row r="190" spans="1:5" x14ac:dyDescent="0.2">
      <c r="A190" s="7" t="s">
        <v>24</v>
      </c>
      <c r="B190" s="8">
        <v>1226956</v>
      </c>
      <c r="C190" s="8">
        <v>1203435</v>
      </c>
      <c r="D190" s="8" t="s">
        <v>228</v>
      </c>
      <c r="E190">
        <v>0</v>
      </c>
    </row>
    <row r="191" spans="1:5" x14ac:dyDescent="0.2">
      <c r="A191" s="7" t="s">
        <v>24</v>
      </c>
      <c r="B191" s="15">
        <v>1307628</v>
      </c>
      <c r="C191" s="17">
        <v>1308557</v>
      </c>
      <c r="D191" s="8" t="s">
        <v>228</v>
      </c>
      <c r="E191">
        <v>0</v>
      </c>
    </row>
    <row r="192" spans="1:5" x14ac:dyDescent="0.2">
      <c r="A192" s="7" t="s">
        <v>229</v>
      </c>
      <c r="B192" s="8">
        <v>56413</v>
      </c>
      <c r="C192" s="8">
        <v>58582</v>
      </c>
      <c r="D192" s="8" t="s">
        <v>197</v>
      </c>
      <c r="E192">
        <v>0</v>
      </c>
    </row>
    <row r="193" spans="1:5" x14ac:dyDescent="0.2">
      <c r="A193" s="7" t="s">
        <v>54</v>
      </c>
      <c r="B193" s="15">
        <v>6385436</v>
      </c>
      <c r="C193" s="17">
        <v>6257983</v>
      </c>
      <c r="D193" s="8" t="s">
        <v>194</v>
      </c>
      <c r="E193">
        <v>0</v>
      </c>
    </row>
    <row r="194" spans="1:5" x14ac:dyDescent="0.2">
      <c r="A194" s="7" t="s">
        <v>25</v>
      </c>
      <c r="B194" s="15">
        <v>1585654</v>
      </c>
      <c r="C194" s="17">
        <v>1517025</v>
      </c>
      <c r="D194" s="8" t="s">
        <v>194</v>
      </c>
      <c r="E194">
        <v>0</v>
      </c>
    </row>
    <row r="195" spans="1:5" x14ac:dyDescent="0.2">
      <c r="A195" s="7" t="s">
        <v>230</v>
      </c>
      <c r="B195" s="15">
        <v>4510816</v>
      </c>
      <c r="C195" s="17">
        <v>4507728</v>
      </c>
      <c r="D195" s="8" t="s">
        <v>203</v>
      </c>
      <c r="E195">
        <v>1</v>
      </c>
    </row>
    <row r="196" spans="1:5" x14ac:dyDescent="0.2">
      <c r="A196" s="8" t="s">
        <v>230</v>
      </c>
      <c r="B196" s="15">
        <v>994727</v>
      </c>
      <c r="C196" s="17">
        <v>993637</v>
      </c>
      <c r="D196" s="8" t="s">
        <v>203</v>
      </c>
      <c r="E196">
        <v>0</v>
      </c>
    </row>
    <row r="197" spans="1:5" x14ac:dyDescent="0.2">
      <c r="A197" s="8" t="s">
        <v>230</v>
      </c>
      <c r="B197" s="15">
        <v>993255</v>
      </c>
      <c r="C197" s="17">
        <v>992161</v>
      </c>
      <c r="D197" s="8" t="s">
        <v>203</v>
      </c>
      <c r="E197">
        <v>0</v>
      </c>
    </row>
    <row r="198" spans="1:5" x14ac:dyDescent="0.2">
      <c r="A198" s="8" t="s">
        <v>230</v>
      </c>
      <c r="B198" s="15">
        <v>896249</v>
      </c>
      <c r="C198" s="17">
        <v>895587</v>
      </c>
      <c r="D198" s="8" t="s">
        <v>203</v>
      </c>
      <c r="E198">
        <v>0</v>
      </c>
    </row>
    <row r="199" spans="1:5" x14ac:dyDescent="0.2">
      <c r="A199" s="8" t="s">
        <v>230</v>
      </c>
      <c r="B199" s="15">
        <v>595509</v>
      </c>
      <c r="C199" s="17">
        <v>594852</v>
      </c>
      <c r="D199" s="8" t="s">
        <v>203</v>
      </c>
      <c r="E199">
        <v>0</v>
      </c>
    </row>
    <row r="200" spans="1:5" x14ac:dyDescent="0.2">
      <c r="A200" s="8" t="s">
        <v>230</v>
      </c>
      <c r="B200" s="15">
        <v>694201</v>
      </c>
      <c r="C200" s="17">
        <v>693532</v>
      </c>
      <c r="D200" s="8" t="s">
        <v>203</v>
      </c>
      <c r="E200">
        <v>0</v>
      </c>
    </row>
    <row r="201" spans="1:5" x14ac:dyDescent="0.2">
      <c r="A201" s="8" t="s">
        <v>106</v>
      </c>
      <c r="B201" s="15">
        <v>4510816</v>
      </c>
      <c r="C201" s="17">
        <v>4496826</v>
      </c>
      <c r="D201" s="8" t="s">
        <v>194</v>
      </c>
      <c r="E201">
        <v>1</v>
      </c>
    </row>
    <row r="202" spans="1:5" x14ac:dyDescent="0.2">
      <c r="A202" s="7" t="s">
        <v>231</v>
      </c>
      <c r="B202" s="15">
        <v>177346</v>
      </c>
      <c r="C202" s="17">
        <v>192008</v>
      </c>
      <c r="D202" s="8" t="s">
        <v>197</v>
      </c>
      <c r="E202">
        <v>0</v>
      </c>
    </row>
    <row r="203" spans="1:5" x14ac:dyDescent="0.2">
      <c r="A203" s="8" t="s">
        <v>133</v>
      </c>
      <c r="B203" s="15">
        <v>328894</v>
      </c>
      <c r="C203" s="17">
        <v>289126</v>
      </c>
      <c r="D203" s="8" t="s">
        <v>232</v>
      </c>
      <c r="E203">
        <v>0</v>
      </c>
    </row>
    <row r="204" spans="1:5" x14ac:dyDescent="0.2">
      <c r="A204" s="8" t="s">
        <v>133</v>
      </c>
      <c r="B204" s="9">
        <v>17632</v>
      </c>
      <c r="C204" s="9">
        <v>18403</v>
      </c>
      <c r="D204" s="8" t="s">
        <v>232</v>
      </c>
      <c r="E204">
        <v>0</v>
      </c>
    </row>
    <row r="205" spans="1:5" x14ac:dyDescent="0.2">
      <c r="A205" s="8" t="s">
        <v>133</v>
      </c>
      <c r="B205" s="9">
        <v>874</v>
      </c>
      <c r="C205" s="9">
        <v>1321</v>
      </c>
      <c r="D205" s="8" t="s">
        <v>232</v>
      </c>
      <c r="E205">
        <v>0</v>
      </c>
    </row>
    <row r="206" spans="1:5" x14ac:dyDescent="0.2">
      <c r="A206" s="7" t="s">
        <v>133</v>
      </c>
      <c r="B206" s="9">
        <v>253072</v>
      </c>
      <c r="C206" s="9">
        <v>204238</v>
      </c>
      <c r="D206" s="8" t="s">
        <v>232</v>
      </c>
      <c r="E206">
        <v>0</v>
      </c>
    </row>
    <row r="207" spans="1:5" x14ac:dyDescent="0.2">
      <c r="A207" s="7" t="s">
        <v>133</v>
      </c>
      <c r="B207" s="9">
        <v>28475</v>
      </c>
      <c r="C207" s="9">
        <v>32828</v>
      </c>
      <c r="D207" s="8" t="s">
        <v>232</v>
      </c>
      <c r="E207">
        <v>0</v>
      </c>
    </row>
    <row r="208" spans="1:5" x14ac:dyDescent="0.2">
      <c r="A208" s="7" t="s">
        <v>133</v>
      </c>
      <c r="B208" s="9">
        <v>7558</v>
      </c>
      <c r="C208" s="9">
        <v>11585</v>
      </c>
      <c r="D208" s="8" t="s">
        <v>232</v>
      </c>
      <c r="E208">
        <v>0</v>
      </c>
    </row>
    <row r="209" spans="1:5" x14ac:dyDescent="0.2">
      <c r="A209" s="7" t="s">
        <v>133</v>
      </c>
      <c r="B209" s="9">
        <v>27601</v>
      </c>
      <c r="C209" s="9">
        <v>31507</v>
      </c>
      <c r="D209" s="8" t="s">
        <v>232</v>
      </c>
      <c r="E209">
        <v>0</v>
      </c>
    </row>
    <row r="210" spans="1:5" x14ac:dyDescent="0.2">
      <c r="A210" s="7" t="s">
        <v>133</v>
      </c>
      <c r="B210" s="9">
        <v>22157</v>
      </c>
      <c r="C210" s="9">
        <v>22072</v>
      </c>
      <c r="D210" s="8" t="s">
        <v>232</v>
      </c>
      <c r="E210">
        <v>0</v>
      </c>
    </row>
    <row r="211" spans="1:5" x14ac:dyDescent="0.2">
      <c r="A211" s="7" t="s">
        <v>133</v>
      </c>
      <c r="B211" s="9">
        <v>260630</v>
      </c>
      <c r="C211" s="9">
        <v>215823</v>
      </c>
      <c r="D211" s="8" t="s">
        <v>232</v>
      </c>
      <c r="E211">
        <v>0</v>
      </c>
    </row>
    <row r="212" spans="1:5" x14ac:dyDescent="0.2">
      <c r="A212" s="7" t="s">
        <v>133</v>
      </c>
      <c r="B212" s="9">
        <v>39789</v>
      </c>
      <c r="C212" s="9">
        <v>40475</v>
      </c>
      <c r="D212" s="8" t="s">
        <v>232</v>
      </c>
      <c r="E212">
        <v>0</v>
      </c>
    </row>
    <row r="213" spans="1:5" x14ac:dyDescent="0.2">
      <c r="A213" s="8" t="s">
        <v>26</v>
      </c>
      <c r="B213" s="9">
        <v>121153</v>
      </c>
      <c r="C213" s="9">
        <v>120134</v>
      </c>
      <c r="D213" s="8" t="s">
        <v>233</v>
      </c>
      <c r="E213">
        <v>0</v>
      </c>
    </row>
    <row r="214" spans="1:5" x14ac:dyDescent="0.2">
      <c r="A214" s="8" t="s">
        <v>27</v>
      </c>
      <c r="B214" s="9">
        <v>119435</v>
      </c>
      <c r="C214" s="9">
        <v>115243</v>
      </c>
      <c r="D214" s="8" t="s">
        <v>194</v>
      </c>
      <c r="E214">
        <v>0</v>
      </c>
    </row>
    <row r="215" spans="1:5" x14ac:dyDescent="0.2">
      <c r="A215" s="8" t="s">
        <v>72</v>
      </c>
      <c r="B215" s="9">
        <v>4.0599999999999996</v>
      </c>
      <c r="C215" s="9">
        <v>3.66</v>
      </c>
      <c r="D215" s="8" t="s">
        <v>234</v>
      </c>
      <c r="E215">
        <v>0</v>
      </c>
    </row>
    <row r="216" spans="1:5" x14ac:dyDescent="0.2">
      <c r="A216" s="8" t="s">
        <v>73</v>
      </c>
      <c r="B216" s="9">
        <v>6.27</v>
      </c>
      <c r="C216" s="9">
        <v>7.04</v>
      </c>
      <c r="D216" s="8" t="s">
        <v>234</v>
      </c>
      <c r="E216">
        <v>0</v>
      </c>
    </row>
    <row r="217" spans="1:5" x14ac:dyDescent="0.2">
      <c r="A217" s="8" t="s">
        <v>235</v>
      </c>
      <c r="B217" s="9">
        <v>22.8</v>
      </c>
      <c r="C217" s="9">
        <v>32.200000000000003</v>
      </c>
      <c r="D217" s="8" t="s">
        <v>190</v>
      </c>
      <c r="E217">
        <v>0</v>
      </c>
    </row>
    <row r="218" spans="1:5" x14ac:dyDescent="0.2">
      <c r="A218" s="7" t="s">
        <v>235</v>
      </c>
      <c r="B218" s="9">
        <v>5.6</v>
      </c>
      <c r="C218" s="9">
        <v>0.4</v>
      </c>
      <c r="D218" s="8" t="s">
        <v>190</v>
      </c>
      <c r="E218">
        <v>0</v>
      </c>
    </row>
    <row r="219" spans="1:5" x14ac:dyDescent="0.2">
      <c r="A219" s="7" t="s">
        <v>55</v>
      </c>
      <c r="B219" s="9">
        <v>192233</v>
      </c>
      <c r="C219" s="9">
        <v>168282</v>
      </c>
      <c r="D219" s="8" t="s">
        <v>194</v>
      </c>
      <c r="E219">
        <v>0</v>
      </c>
    </row>
    <row r="220" spans="1:5" x14ac:dyDescent="0.2">
      <c r="A220" s="7" t="s">
        <v>107</v>
      </c>
      <c r="B220" s="9">
        <v>47692</v>
      </c>
      <c r="C220" s="9">
        <v>43903</v>
      </c>
      <c r="D220" s="8" t="s">
        <v>194</v>
      </c>
      <c r="E220">
        <v>0</v>
      </c>
    </row>
    <row r="221" spans="1:5" x14ac:dyDescent="0.2">
      <c r="A221" s="7" t="s">
        <v>30</v>
      </c>
      <c r="B221" s="9">
        <v>120190</v>
      </c>
      <c r="C221" s="9">
        <v>96970</v>
      </c>
      <c r="D221" s="8" t="s">
        <v>194</v>
      </c>
      <c r="E221">
        <v>0</v>
      </c>
    </row>
    <row r="222" spans="1:5" x14ac:dyDescent="0.2">
      <c r="A222" s="7" t="s">
        <v>236</v>
      </c>
      <c r="B222" s="9">
        <v>37.299999999999997</v>
      </c>
      <c r="C222" s="9">
        <v>31.9</v>
      </c>
      <c r="D222" s="8" t="s">
        <v>188</v>
      </c>
      <c r="E222">
        <v>0</v>
      </c>
    </row>
    <row r="223" spans="1:5" x14ac:dyDescent="0.2">
      <c r="A223" s="8" t="s">
        <v>59</v>
      </c>
      <c r="B223" s="9">
        <v>100000000</v>
      </c>
      <c r="C223" s="9">
        <v>100000000</v>
      </c>
      <c r="D223" s="8" t="s">
        <v>200</v>
      </c>
      <c r="E223">
        <v>0</v>
      </c>
    </row>
    <row r="224" spans="1:5" x14ac:dyDescent="0.2">
      <c r="A224" s="8" t="s">
        <v>237</v>
      </c>
      <c r="B224" s="9">
        <v>0</v>
      </c>
      <c r="C224" s="9">
        <v>0</v>
      </c>
      <c r="D224" s="8" t="s">
        <v>200</v>
      </c>
      <c r="E224">
        <v>1</v>
      </c>
    </row>
    <row r="225" spans="1:5" x14ac:dyDescent="0.2">
      <c r="A225" s="8" t="s">
        <v>56</v>
      </c>
      <c r="B225" s="9">
        <v>65799</v>
      </c>
      <c r="C225" s="9">
        <v>57903</v>
      </c>
      <c r="D225" s="8" t="s">
        <v>194</v>
      </c>
      <c r="E225">
        <v>0</v>
      </c>
    </row>
    <row r="226" spans="1:5" x14ac:dyDescent="0.2">
      <c r="A226" s="7" t="s">
        <v>108</v>
      </c>
      <c r="B226" s="9">
        <v>48162</v>
      </c>
      <c r="C226" s="9">
        <v>59002</v>
      </c>
      <c r="D226" s="8" t="s">
        <v>194</v>
      </c>
      <c r="E226">
        <v>0</v>
      </c>
    </row>
    <row r="227" spans="1:5" x14ac:dyDescent="0.2">
      <c r="A227" s="7" t="s">
        <v>238</v>
      </c>
      <c r="B227" s="9">
        <v>250790</v>
      </c>
      <c r="C227" s="9">
        <v>267656</v>
      </c>
      <c r="D227" s="8" t="s">
        <v>197</v>
      </c>
      <c r="E227">
        <v>0</v>
      </c>
    </row>
    <row r="228" spans="1:5" x14ac:dyDescent="0.2">
      <c r="A228" s="7" t="s">
        <v>29</v>
      </c>
      <c r="B228" s="9">
        <v>70885</v>
      </c>
      <c r="C228" s="9">
        <v>55920</v>
      </c>
      <c r="D228" s="8" t="s">
        <v>239</v>
      </c>
      <c r="E228">
        <v>0</v>
      </c>
    </row>
    <row r="229" spans="1:5" x14ac:dyDescent="0.2">
      <c r="A229" s="7" t="s">
        <v>110</v>
      </c>
      <c r="B229" s="9">
        <v>3497</v>
      </c>
      <c r="C229" s="9">
        <v>3878</v>
      </c>
      <c r="D229" s="8" t="s">
        <v>200</v>
      </c>
      <c r="E229">
        <v>0</v>
      </c>
    </row>
    <row r="230" spans="1:5" x14ac:dyDescent="0.2">
      <c r="A230" s="7" t="s">
        <v>57</v>
      </c>
      <c r="B230" s="9">
        <v>4780300</v>
      </c>
      <c r="C230" s="9">
        <v>4179681</v>
      </c>
      <c r="D230" s="8" t="s">
        <v>194</v>
      </c>
      <c r="E230">
        <v>0</v>
      </c>
    </row>
    <row r="231" spans="1:5" x14ac:dyDescent="0.2">
      <c r="A231" s="7" t="s">
        <v>240</v>
      </c>
      <c r="B231" s="9">
        <v>370</v>
      </c>
      <c r="C231" s="9">
        <v>231</v>
      </c>
      <c r="D231" s="8" t="s">
        <v>241</v>
      </c>
      <c r="E231">
        <v>0</v>
      </c>
    </row>
    <row r="232" spans="1:5" x14ac:dyDescent="0.2">
      <c r="A232" s="7" t="s">
        <v>242</v>
      </c>
      <c r="B232" s="9">
        <v>570.19000000000005</v>
      </c>
      <c r="C232" s="9">
        <v>552.17999999999995</v>
      </c>
      <c r="D232" s="8" t="s">
        <v>243</v>
      </c>
      <c r="E232">
        <v>0</v>
      </c>
    </row>
    <row r="233" spans="1:5" x14ac:dyDescent="0.2">
      <c r="A233" s="8" t="s">
        <v>9</v>
      </c>
      <c r="B233" s="9">
        <v>-939997</v>
      </c>
      <c r="C233" s="9">
        <v>-739764</v>
      </c>
      <c r="D233" s="8" t="s">
        <v>244</v>
      </c>
      <c r="E233">
        <v>0</v>
      </c>
    </row>
    <row r="234" spans="1:5" x14ac:dyDescent="0.2">
      <c r="A234" s="8" t="s">
        <v>9</v>
      </c>
      <c r="B234" s="9">
        <v>-7334291</v>
      </c>
      <c r="C234" s="9">
        <v>-6447101</v>
      </c>
      <c r="D234" s="8" t="s">
        <v>244</v>
      </c>
      <c r="E234">
        <v>0</v>
      </c>
    </row>
    <row r="235" spans="1:5" x14ac:dyDescent="0.2">
      <c r="A235" s="7" t="s">
        <v>113</v>
      </c>
      <c r="B235" s="9">
        <v>56335267</v>
      </c>
      <c r="C235" s="9">
        <v>54726120</v>
      </c>
      <c r="D235" s="8" t="s">
        <v>201</v>
      </c>
      <c r="E235">
        <v>0</v>
      </c>
    </row>
    <row r="236" spans="1:5" x14ac:dyDescent="0.2">
      <c r="A236" s="7" t="s">
        <v>109</v>
      </c>
      <c r="B236" s="9">
        <v>7334291</v>
      </c>
      <c r="C236" s="9">
        <v>6447101</v>
      </c>
      <c r="D236" s="8" t="s">
        <v>194</v>
      </c>
      <c r="E236">
        <v>0</v>
      </c>
    </row>
    <row r="237" spans="1:5" x14ac:dyDescent="0.2">
      <c r="A237" s="7" t="s">
        <v>245</v>
      </c>
      <c r="B237" s="9">
        <v>32313</v>
      </c>
      <c r="C237" s="9">
        <v>33801</v>
      </c>
      <c r="D237" s="8" t="s">
        <v>246</v>
      </c>
      <c r="E237">
        <v>0</v>
      </c>
    </row>
    <row r="238" spans="1:5" x14ac:dyDescent="0.2">
      <c r="A238" s="8" t="s">
        <v>247</v>
      </c>
      <c r="B238" s="9">
        <v>3.6</v>
      </c>
      <c r="C238" s="9">
        <v>2.5</v>
      </c>
      <c r="D238" s="8" t="s">
        <v>190</v>
      </c>
      <c r="E238">
        <v>0</v>
      </c>
    </row>
    <row r="239" spans="1:5" x14ac:dyDescent="0.2">
      <c r="A239" s="8"/>
      <c r="B239" s="9"/>
      <c r="C239" s="9"/>
      <c r="D239" s="8"/>
      <c r="E239"/>
    </row>
    <row r="240" spans="1:5" x14ac:dyDescent="0.2">
      <c r="A240" s="8"/>
      <c r="B240" s="9"/>
      <c r="C240" s="9"/>
      <c r="D240" s="8"/>
      <c r="E240"/>
    </row>
    <row r="241" spans="1:5" x14ac:dyDescent="0.2">
      <c r="A241" s="7"/>
      <c r="B241" s="9"/>
      <c r="C241" s="9"/>
      <c r="D241" s="8"/>
      <c r="E241"/>
    </row>
    <row r="242" spans="1:5" x14ac:dyDescent="0.2">
      <c r="A242" s="8"/>
      <c r="B242" s="9"/>
      <c r="C242" s="9"/>
      <c r="D242" s="8"/>
      <c r="E242"/>
    </row>
    <row r="243" spans="1:5" x14ac:dyDescent="0.2">
      <c r="A243" s="8"/>
      <c r="B243" s="9"/>
      <c r="C243" s="9"/>
      <c r="D243" s="8"/>
      <c r="E243"/>
    </row>
    <row r="244" spans="1:5" x14ac:dyDescent="0.2">
      <c r="A244" s="8"/>
      <c r="B244" s="9"/>
      <c r="C244" s="9"/>
      <c r="D244" s="8"/>
      <c r="E244"/>
    </row>
    <row r="245" spans="1:5" x14ac:dyDescent="0.2">
      <c r="A245" s="7"/>
      <c r="B245" s="9"/>
      <c r="C245" s="9"/>
      <c r="D245" s="8"/>
      <c r="E245"/>
    </row>
    <row r="246" spans="1:5" x14ac:dyDescent="0.2">
      <c r="A246" s="7"/>
      <c r="B246" s="9"/>
      <c r="C246" s="9"/>
      <c r="D246" s="8"/>
      <c r="E246"/>
    </row>
    <row r="247" spans="1:5" x14ac:dyDescent="0.2">
      <c r="A247" s="7"/>
      <c r="B247" s="9"/>
      <c r="C247" s="9"/>
      <c r="D247" s="8"/>
      <c r="E247"/>
    </row>
    <row r="248" spans="1:5" x14ac:dyDescent="0.2">
      <c r="A248" s="8"/>
      <c r="B248" s="9"/>
      <c r="C248" s="9"/>
      <c r="D248" s="8"/>
      <c r="E248"/>
    </row>
    <row r="249" spans="1:5" x14ac:dyDescent="0.2">
      <c r="A249" s="8"/>
      <c r="B249" s="9"/>
      <c r="C249" s="9"/>
      <c r="D249" s="8"/>
      <c r="E249"/>
    </row>
    <row r="250" spans="1:5" x14ac:dyDescent="0.2">
      <c r="A250" s="8"/>
      <c r="B250" s="9"/>
      <c r="C250" s="9"/>
      <c r="D250" s="8"/>
      <c r="E250"/>
    </row>
    <row r="251" spans="1:5" x14ac:dyDescent="0.2">
      <c r="A251" s="8"/>
      <c r="B251" s="9"/>
      <c r="C251" s="9"/>
      <c r="D251" s="8"/>
      <c r="E251"/>
    </row>
    <row r="252" spans="1:5" x14ac:dyDescent="0.2">
      <c r="A252" s="8"/>
      <c r="B252" s="9"/>
      <c r="C252" s="9"/>
      <c r="D252" s="8"/>
      <c r="E252"/>
    </row>
    <row r="253" spans="1:5" x14ac:dyDescent="0.2">
      <c r="A253" s="7"/>
      <c r="B253" s="9"/>
      <c r="C253" s="9"/>
      <c r="D253" s="8"/>
      <c r="E253"/>
    </row>
    <row r="254" spans="1:5" x14ac:dyDescent="0.2">
      <c r="A254" s="7"/>
      <c r="B254" s="9"/>
      <c r="C254" s="9"/>
      <c r="D254" s="8"/>
      <c r="E254"/>
    </row>
    <row r="255" spans="1:5" x14ac:dyDescent="0.2">
      <c r="A255" s="8"/>
      <c r="B255" s="9"/>
      <c r="C255" s="9"/>
      <c r="D255" s="8"/>
      <c r="E255"/>
    </row>
    <row r="256" spans="1:5" x14ac:dyDescent="0.2">
      <c r="A256" s="8"/>
      <c r="B256" s="9"/>
      <c r="C256" s="9"/>
      <c r="D256" s="8"/>
      <c r="E256"/>
    </row>
    <row r="257" spans="1:5" x14ac:dyDescent="0.2">
      <c r="A257" s="8"/>
      <c r="B257" s="9"/>
      <c r="C257" s="9"/>
      <c r="D257" s="8"/>
      <c r="E257"/>
    </row>
    <row r="258" spans="1:5" x14ac:dyDescent="0.2">
      <c r="A258" s="8"/>
      <c r="B258" s="9"/>
      <c r="C258" s="9"/>
      <c r="D258" s="8"/>
      <c r="E258"/>
    </row>
    <row r="259" spans="1:5" x14ac:dyDescent="0.2">
      <c r="A259" s="8"/>
      <c r="B259" s="9"/>
      <c r="C259" s="9"/>
      <c r="D259" s="8"/>
      <c r="E259"/>
    </row>
    <row r="260" spans="1:5" x14ac:dyDescent="0.2">
      <c r="A260" s="8"/>
      <c r="B260" s="9"/>
      <c r="C260" s="9"/>
      <c r="D260" s="8"/>
      <c r="E260"/>
    </row>
    <row r="261" spans="1:5" x14ac:dyDescent="0.2">
      <c r="A261" s="8"/>
      <c r="B261" s="9"/>
      <c r="C261" s="9"/>
      <c r="D261" s="8"/>
      <c r="E261"/>
    </row>
    <row r="262" spans="1:5" x14ac:dyDescent="0.2">
      <c r="A262" s="8"/>
      <c r="B262" s="9"/>
      <c r="C262" s="9"/>
      <c r="D262" s="8"/>
      <c r="E262"/>
    </row>
    <row r="263" spans="1:5" x14ac:dyDescent="0.2">
      <c r="A263" s="8"/>
      <c r="B263" s="9"/>
      <c r="C263" s="9"/>
      <c r="D263" s="8"/>
      <c r="E263"/>
    </row>
    <row r="264" spans="1:5" x14ac:dyDescent="0.2">
      <c r="A264" s="8"/>
      <c r="B264" s="9"/>
      <c r="C264" s="9"/>
      <c r="D264" s="8"/>
      <c r="E264"/>
    </row>
    <row r="265" spans="1:5" x14ac:dyDescent="0.2">
      <c r="A265" s="8"/>
      <c r="B265" s="9"/>
      <c r="C265" s="9"/>
      <c r="D265" s="8"/>
      <c r="E265"/>
    </row>
    <row r="266" spans="1:5" x14ac:dyDescent="0.2">
      <c r="A266" s="8"/>
      <c r="B266" s="9"/>
      <c r="C266" s="9"/>
      <c r="D266" s="8"/>
      <c r="E266"/>
    </row>
    <row r="267" spans="1:5" x14ac:dyDescent="0.2">
      <c r="A267" s="8"/>
      <c r="B267" s="9"/>
      <c r="C267" s="9"/>
      <c r="D267" s="8"/>
      <c r="E267"/>
    </row>
    <row r="268" spans="1:5" x14ac:dyDescent="0.2">
      <c r="A268" s="8"/>
      <c r="B268" s="9"/>
      <c r="C268" s="9"/>
      <c r="D268" s="8"/>
      <c r="E268"/>
    </row>
    <row r="269" spans="1:5" x14ac:dyDescent="0.2">
      <c r="A269" s="8"/>
      <c r="B269" s="9"/>
      <c r="C269" s="9"/>
      <c r="D269" s="8"/>
      <c r="E269"/>
    </row>
    <row r="270" spans="1:5" x14ac:dyDescent="0.2">
      <c r="A270" s="7"/>
      <c r="B270" s="9"/>
      <c r="C270" s="9"/>
      <c r="D270" s="8"/>
      <c r="E270"/>
    </row>
    <row r="271" spans="1:5" x14ac:dyDescent="0.2">
      <c r="A271" s="8"/>
      <c r="B271" s="9"/>
      <c r="C271" s="9"/>
      <c r="D271" s="8"/>
      <c r="E271"/>
    </row>
    <row r="272" spans="1:5" x14ac:dyDescent="0.2">
      <c r="A272" s="8"/>
      <c r="B272" s="9"/>
      <c r="C272" s="9"/>
      <c r="D272" s="8"/>
    </row>
    <row r="273" spans="1:6" x14ac:dyDescent="0.2">
      <c r="A273" s="8"/>
      <c r="B273" s="9"/>
      <c r="C273" s="9"/>
      <c r="D273" s="8"/>
    </row>
    <row r="274" spans="1:6" x14ac:dyDescent="0.2">
      <c r="A274" s="8"/>
      <c r="B274" s="9"/>
      <c r="C274" s="9"/>
      <c r="D274" s="8"/>
    </row>
    <row r="275" spans="1:6" x14ac:dyDescent="0.2">
      <c r="A275" s="8"/>
      <c r="B275" s="9"/>
      <c r="C275" s="9"/>
      <c r="D275" s="8"/>
    </row>
    <row r="276" spans="1:6" x14ac:dyDescent="0.2">
      <c r="A276" s="8"/>
      <c r="B276" s="9"/>
      <c r="C276" s="9"/>
      <c r="D276" s="8"/>
    </row>
    <row r="277" spans="1:6" x14ac:dyDescent="0.2">
      <c r="A277" s="8"/>
      <c r="B277" s="9"/>
      <c r="C277" s="9"/>
      <c r="D277" s="8"/>
    </row>
    <row r="278" spans="1:6" x14ac:dyDescent="0.2">
      <c r="A278" s="8"/>
      <c r="B278" s="9"/>
      <c r="C278" s="9"/>
      <c r="D278" s="8"/>
    </row>
    <row r="279" spans="1:6" x14ac:dyDescent="0.2">
      <c r="A279" s="8"/>
      <c r="B279" s="9"/>
      <c r="C279" s="9"/>
      <c r="D279" s="8"/>
    </row>
    <row r="280" spans="1:6" x14ac:dyDescent="0.2">
      <c r="A280" s="8"/>
      <c r="B280" s="9"/>
      <c r="C280" s="9"/>
      <c r="D280" s="8"/>
    </row>
    <row r="281" spans="1:6" x14ac:dyDescent="0.2">
      <c r="A281" s="8"/>
      <c r="B281" s="9"/>
      <c r="C281" s="9"/>
      <c r="D281" s="8"/>
    </row>
    <row r="282" spans="1:6" x14ac:dyDescent="0.2">
      <c r="A282" s="8"/>
      <c r="B282" s="9"/>
      <c r="C282" s="9"/>
      <c r="D282" s="8"/>
    </row>
    <row r="283" spans="1:6" x14ac:dyDescent="0.2">
      <c r="A283" s="8"/>
      <c r="B283" s="9"/>
      <c r="C283" s="9"/>
      <c r="D283" s="8"/>
    </row>
    <row r="284" spans="1:6" x14ac:dyDescent="0.2">
      <c r="A284" s="8"/>
      <c r="B284" s="8"/>
      <c r="C284" s="8"/>
      <c r="D284" s="8"/>
      <c r="F284" t="b">
        <f>ISNUMBER(#REF!)</f>
        <v>0</v>
      </c>
    </row>
    <row r="285" spans="1:6" x14ac:dyDescent="0.2">
      <c r="A285" s="8"/>
      <c r="B285" s="9"/>
      <c r="C285" s="9"/>
      <c r="D285" s="8"/>
    </row>
    <row r="286" spans="1:6" x14ac:dyDescent="0.2">
      <c r="A286" s="8"/>
      <c r="B286" s="9"/>
      <c r="C286" s="9"/>
      <c r="D286" s="8"/>
    </row>
    <row r="287" spans="1:6" x14ac:dyDescent="0.2">
      <c r="A287" s="8"/>
      <c r="B287" s="9"/>
      <c r="C287" s="9"/>
      <c r="D287" s="8"/>
    </row>
    <row r="288" spans="1:6" x14ac:dyDescent="0.2">
      <c r="A288" s="8"/>
      <c r="B288" s="9"/>
      <c r="C288" s="9"/>
      <c r="D288" s="8"/>
    </row>
    <row r="289" spans="1:4" x14ac:dyDescent="0.2">
      <c r="A289" s="8"/>
      <c r="B289" s="9"/>
      <c r="C289" s="9"/>
      <c r="D289" s="8"/>
    </row>
    <row r="290" spans="1:4" x14ac:dyDescent="0.2">
      <c r="A290" s="8"/>
      <c r="B290" s="10"/>
      <c r="C290" s="10"/>
      <c r="D290" s="8"/>
    </row>
    <row r="291" spans="1:4" x14ac:dyDescent="0.2">
      <c r="A291" s="8"/>
      <c r="B291" s="10"/>
      <c r="C291" s="10"/>
      <c r="D291" s="8"/>
    </row>
    <row r="292" spans="1:4" x14ac:dyDescent="0.2">
      <c r="A292" s="8"/>
      <c r="B292" s="11"/>
      <c r="C292" s="11"/>
      <c r="D292" s="8"/>
    </row>
    <row r="293" spans="1:4" x14ac:dyDescent="0.2">
      <c r="A293" s="8"/>
      <c r="B293" s="10"/>
      <c r="C293" s="10"/>
      <c r="D293" s="8"/>
    </row>
    <row r="294" spans="1:4" x14ac:dyDescent="0.2">
      <c r="A294" s="8"/>
      <c r="B294" s="11"/>
      <c r="C294" s="11"/>
      <c r="D294" s="8"/>
    </row>
    <row r="295" spans="1:4" x14ac:dyDescent="0.2">
      <c r="A295" s="8"/>
      <c r="B295" s="10"/>
      <c r="C295" s="10"/>
      <c r="D295" s="8"/>
    </row>
    <row r="296" spans="1:4" x14ac:dyDescent="0.2">
      <c r="A296" s="8"/>
      <c r="B296" s="11"/>
      <c r="C296" s="11"/>
      <c r="D296" s="8"/>
    </row>
    <row r="297" spans="1:4" x14ac:dyDescent="0.2">
      <c r="A297" s="8"/>
      <c r="B297" s="10"/>
      <c r="C297" s="10"/>
      <c r="D297" s="8"/>
    </row>
    <row r="298" spans="1:4" x14ac:dyDescent="0.2">
      <c r="A298" s="8"/>
      <c r="B298" s="11"/>
      <c r="C298" s="11"/>
      <c r="D298" s="8"/>
    </row>
    <row r="299" spans="1:4" x14ac:dyDescent="0.2">
      <c r="A299" s="8"/>
      <c r="B299" s="10"/>
      <c r="C299" s="10"/>
      <c r="D299" s="8"/>
    </row>
    <row r="300" spans="1:4" x14ac:dyDescent="0.2">
      <c r="A300" s="8"/>
      <c r="B300" s="10"/>
      <c r="C300" s="10"/>
      <c r="D300" s="8"/>
    </row>
    <row r="301" spans="1:4" x14ac:dyDescent="0.2">
      <c r="A301" s="8"/>
      <c r="B301" s="10"/>
      <c r="C301" s="10"/>
      <c r="D301" s="8"/>
    </row>
    <row r="302" spans="1:4" x14ac:dyDescent="0.2">
      <c r="A302" s="8"/>
      <c r="B302" s="11"/>
      <c r="C302" s="11"/>
      <c r="D302" s="8"/>
    </row>
    <row r="303" spans="1:4" x14ac:dyDescent="0.2">
      <c r="A303" s="8"/>
      <c r="B303" s="10"/>
      <c r="C303" s="10"/>
      <c r="D303" s="8"/>
    </row>
    <row r="304" spans="1:4" x14ac:dyDescent="0.2">
      <c r="A304" s="8"/>
      <c r="B304" s="11"/>
      <c r="C304" s="11"/>
      <c r="D304" s="8"/>
    </row>
    <row r="305" spans="1:4" x14ac:dyDescent="0.2">
      <c r="A305" s="8"/>
      <c r="B305" s="10"/>
      <c r="C305" s="10"/>
      <c r="D305" s="8"/>
    </row>
    <row r="306" spans="1:4" x14ac:dyDescent="0.2">
      <c r="A306" s="8"/>
      <c r="B306" s="10"/>
      <c r="C306" s="10"/>
      <c r="D306" s="8"/>
    </row>
    <row r="307" spans="1:4" x14ac:dyDescent="0.2">
      <c r="A307" s="8"/>
      <c r="B307" s="10"/>
      <c r="C307" s="10"/>
      <c r="D307" s="8"/>
    </row>
    <row r="308" spans="1:4" x14ac:dyDescent="0.2">
      <c r="A308" s="8"/>
      <c r="B308" s="10"/>
      <c r="C308" s="10"/>
      <c r="D308" s="8"/>
    </row>
    <row r="309" spans="1:4" x14ac:dyDescent="0.2">
      <c r="A309" s="8"/>
      <c r="B309" s="8"/>
      <c r="C309" s="8"/>
      <c r="D309" s="8"/>
    </row>
    <row r="310" spans="1:4" x14ac:dyDescent="0.2">
      <c r="A310" s="8"/>
      <c r="B310" s="8"/>
      <c r="C310" s="8"/>
      <c r="D310" s="8"/>
    </row>
    <row r="311" spans="1:4" x14ac:dyDescent="0.2">
      <c r="A311" s="8"/>
      <c r="B311" s="8"/>
      <c r="C311" s="8"/>
      <c r="D311" s="8"/>
    </row>
    <row r="312" spans="1:4" x14ac:dyDescent="0.2">
      <c r="A312" s="8"/>
      <c r="B312" s="8"/>
      <c r="C312" s="8"/>
      <c r="D312" s="8"/>
    </row>
    <row r="313" spans="1:4" x14ac:dyDescent="0.2">
      <c r="A313" s="8"/>
      <c r="B313" s="5"/>
      <c r="C313" s="5"/>
    </row>
    <row r="314" spans="1:4" x14ac:dyDescent="0.2">
      <c r="A314" s="8"/>
      <c r="B314" s="8"/>
      <c r="C314" s="8"/>
    </row>
    <row r="315" spans="1:4" x14ac:dyDescent="0.2">
      <c r="A315" s="8"/>
      <c r="B315" s="8"/>
      <c r="C315" s="8"/>
    </row>
    <row r="316" spans="1:4" x14ac:dyDescent="0.2">
      <c r="A316" s="8"/>
      <c r="B316" s="8"/>
      <c r="C316" s="8"/>
    </row>
    <row r="317" spans="1:4" x14ac:dyDescent="0.2">
      <c r="A317" s="8"/>
      <c r="B317" s="8"/>
      <c r="C317" s="8"/>
    </row>
    <row r="318" spans="1:4" x14ac:dyDescent="0.2">
      <c r="A318" s="8"/>
      <c r="B318" s="8"/>
      <c r="C318" s="8"/>
    </row>
    <row r="319" spans="1:4" x14ac:dyDescent="0.2">
      <c r="A319" s="7"/>
      <c r="B319" s="7"/>
      <c r="C319" s="7"/>
    </row>
    <row r="320" spans="1:4" x14ac:dyDescent="0.2">
      <c r="A320" s="8"/>
      <c r="B320" s="8"/>
      <c r="C320" s="8"/>
    </row>
    <row r="321" spans="1:3" x14ac:dyDescent="0.2">
      <c r="A321" s="8"/>
      <c r="B321" s="8"/>
      <c r="C321" s="8"/>
    </row>
    <row r="322" spans="1:3" x14ac:dyDescent="0.2">
      <c r="A322" s="8"/>
      <c r="B322" s="8"/>
      <c r="C322" s="8"/>
    </row>
    <row r="323" spans="1:3" x14ac:dyDescent="0.2">
      <c r="A323" s="8"/>
      <c r="B323" s="8"/>
      <c r="C323" s="8"/>
    </row>
    <row r="324" spans="1:3" x14ac:dyDescent="0.2">
      <c r="A324" s="8"/>
      <c r="B324" s="8"/>
      <c r="C324" s="8"/>
    </row>
    <row r="325" spans="1:3" x14ac:dyDescent="0.2">
      <c r="A325" s="8"/>
      <c r="B325" s="8"/>
      <c r="C325" s="8"/>
    </row>
    <row r="326" spans="1:3" x14ac:dyDescent="0.2">
      <c r="A326" s="8"/>
      <c r="B326" s="8"/>
      <c r="C326" s="8"/>
    </row>
    <row r="327" spans="1:3" x14ac:dyDescent="0.2">
      <c r="A327" s="8"/>
      <c r="B327" s="8"/>
      <c r="C327" s="8"/>
    </row>
    <row r="328" spans="1:3" x14ac:dyDescent="0.2">
      <c r="A328" s="8"/>
      <c r="B328" s="8"/>
      <c r="C328" s="8"/>
    </row>
    <row r="329" spans="1:3" x14ac:dyDescent="0.2">
      <c r="A329" s="8"/>
      <c r="B329" s="8"/>
      <c r="C329" s="8"/>
    </row>
    <row r="330" spans="1:3" x14ac:dyDescent="0.2">
      <c r="A330" s="8"/>
      <c r="B330" s="8"/>
      <c r="C330" s="8"/>
    </row>
    <row r="331" spans="1:3" x14ac:dyDescent="0.2">
      <c r="A331" s="8"/>
      <c r="B331" s="8"/>
      <c r="C331" s="8"/>
    </row>
    <row r="332" spans="1:3" x14ac:dyDescent="0.2">
      <c r="A332" s="8"/>
      <c r="B332" s="8"/>
      <c r="C332" s="8"/>
    </row>
    <row r="333" spans="1:3" x14ac:dyDescent="0.2">
      <c r="A333" s="8"/>
      <c r="B333" s="8"/>
      <c r="C333" s="8"/>
    </row>
    <row r="334" spans="1:3" x14ac:dyDescent="0.2">
      <c r="A334" s="7"/>
      <c r="B334" s="7"/>
      <c r="C334" s="7"/>
    </row>
    <row r="335" spans="1:3" x14ac:dyDescent="0.2">
      <c r="A335" s="8"/>
      <c r="B335" s="8"/>
      <c r="C335" s="8"/>
    </row>
    <row r="336" spans="1:3" x14ac:dyDescent="0.2">
      <c r="A336" s="8"/>
      <c r="B336" s="8"/>
      <c r="C336" s="8"/>
    </row>
    <row r="337" spans="1:3" x14ac:dyDescent="0.2">
      <c r="A337" s="8"/>
      <c r="B337" s="8"/>
      <c r="C337" s="8"/>
    </row>
    <row r="338" spans="1:3" x14ac:dyDescent="0.2">
      <c r="A338" s="8"/>
      <c r="B338" s="8"/>
      <c r="C338" s="8"/>
    </row>
    <row r="339" spans="1:3" x14ac:dyDescent="0.2">
      <c r="A339" s="8"/>
      <c r="B339" s="8"/>
      <c r="C339" s="8"/>
    </row>
    <row r="340" spans="1:3" x14ac:dyDescent="0.2">
      <c r="A340" s="8"/>
      <c r="B340" s="8"/>
      <c r="C340" s="8"/>
    </row>
    <row r="341" spans="1:3" x14ac:dyDescent="0.2">
      <c r="A341" s="7"/>
      <c r="B341" s="7"/>
      <c r="C341" s="7"/>
    </row>
    <row r="342" spans="1:3" x14ac:dyDescent="0.2">
      <c r="A342" s="7"/>
      <c r="B342" s="7"/>
      <c r="C342" s="7"/>
    </row>
    <row r="343" spans="1:3" x14ac:dyDescent="0.2">
      <c r="A343" s="7"/>
      <c r="B343" s="7"/>
      <c r="C343" s="7"/>
    </row>
    <row r="344" spans="1:3" x14ac:dyDescent="0.2">
      <c r="A344" s="7"/>
      <c r="B344" s="7"/>
      <c r="C344" s="7"/>
    </row>
    <row r="345" spans="1:3" x14ac:dyDescent="0.2">
      <c r="A345" s="7"/>
      <c r="B345" s="7"/>
      <c r="C345" s="7"/>
    </row>
    <row r="346" spans="1:3" x14ac:dyDescent="0.2">
      <c r="A346" s="8"/>
      <c r="B346" s="8"/>
      <c r="C346" s="8"/>
    </row>
    <row r="347" spans="1:3" x14ac:dyDescent="0.2">
      <c r="A347" s="7"/>
      <c r="B347" s="7"/>
      <c r="C347" s="7"/>
    </row>
    <row r="348" spans="1:3" x14ac:dyDescent="0.2">
      <c r="A348" s="7"/>
      <c r="B348" s="7"/>
      <c r="C348" s="7"/>
    </row>
    <row r="349" spans="1:3" x14ac:dyDescent="0.2">
      <c r="A349" s="7"/>
      <c r="B349" s="7"/>
      <c r="C349" s="7"/>
    </row>
    <row r="350" spans="1:3" x14ac:dyDescent="0.2">
      <c r="A350" s="7"/>
      <c r="B350" s="7"/>
      <c r="C350" s="7"/>
    </row>
    <row r="351" spans="1:3" x14ac:dyDescent="0.2">
      <c r="A351" s="12"/>
      <c r="B351" s="12"/>
      <c r="C351" s="12"/>
    </row>
    <row r="352" spans="1:3" x14ac:dyDescent="0.2">
      <c r="A352" s="12"/>
      <c r="B352" s="12"/>
      <c r="C352" s="12"/>
    </row>
    <row r="353" spans="1:3" x14ac:dyDescent="0.2">
      <c r="A353" s="12"/>
      <c r="B353" s="12"/>
      <c r="C353" s="12"/>
    </row>
    <row r="354" spans="1:3" x14ac:dyDescent="0.2">
      <c r="A354" s="12"/>
      <c r="B354" s="12"/>
      <c r="C354" s="12"/>
    </row>
    <row r="356" spans="1:3" x14ac:dyDescent="0.2">
      <c r="A356" s="12"/>
      <c r="B356" s="12"/>
      <c r="C356" s="12"/>
    </row>
    <row r="357" spans="1:3" x14ac:dyDescent="0.2">
      <c r="A357" s="12"/>
      <c r="B357" s="12"/>
      <c r="C357" s="12"/>
    </row>
    <row r="358" spans="1:3" x14ac:dyDescent="0.2">
      <c r="A358" s="12"/>
      <c r="B358" s="12"/>
      <c r="C358" s="12"/>
    </row>
    <row r="359" spans="1:3" x14ac:dyDescent="0.2">
      <c r="A359" s="12"/>
      <c r="B359" s="12"/>
      <c r="C359" s="12"/>
    </row>
    <row r="360" spans="1:3" x14ac:dyDescent="0.2">
      <c r="A360" s="12"/>
      <c r="B360" s="12"/>
      <c r="C360" s="12"/>
    </row>
    <row r="361" spans="1:3" x14ac:dyDescent="0.2">
      <c r="A361" s="12"/>
      <c r="B361" s="12"/>
      <c r="C361" s="12"/>
    </row>
    <row r="362" spans="1:3" x14ac:dyDescent="0.2">
      <c r="A362" s="12"/>
      <c r="B362" s="12"/>
      <c r="C362" s="12"/>
    </row>
    <row r="363" spans="1:3" x14ac:dyDescent="0.2">
      <c r="A363" s="12"/>
      <c r="B363" s="12"/>
      <c r="C363" s="12"/>
    </row>
    <row r="364" spans="1:3" x14ac:dyDescent="0.2">
      <c r="A364" s="12"/>
      <c r="B364" s="12"/>
      <c r="C364" s="12"/>
    </row>
    <row r="365" spans="1:3" x14ac:dyDescent="0.2">
      <c r="A365" s="12"/>
      <c r="B365" s="12"/>
      <c r="C365" s="12"/>
    </row>
    <row r="366" spans="1:3" x14ac:dyDescent="0.2">
      <c r="A366" s="12"/>
      <c r="B366" s="12"/>
      <c r="C366" s="12"/>
    </row>
    <row r="369" spans="1:3" x14ac:dyDescent="0.2">
      <c r="A369" s="12"/>
      <c r="B369" s="12"/>
      <c r="C369" s="12"/>
    </row>
    <row r="370" spans="1:3" x14ac:dyDescent="0.2">
      <c r="A370" s="12"/>
      <c r="B370" s="12"/>
      <c r="C370" s="12"/>
    </row>
    <row r="371" spans="1:3" x14ac:dyDescent="0.2">
      <c r="A371" s="12"/>
      <c r="B371" s="12"/>
      <c r="C371" s="12"/>
    </row>
    <row r="372" spans="1:3" x14ac:dyDescent="0.2">
      <c r="A372" s="12"/>
      <c r="B372" s="12"/>
      <c r="C372" s="12"/>
    </row>
    <row r="373" spans="1:3" x14ac:dyDescent="0.2">
      <c r="A373" s="12"/>
      <c r="B373" s="12"/>
      <c r="C373" s="12"/>
    </row>
    <row r="374" spans="1:3" x14ac:dyDescent="0.2">
      <c r="A374" s="12"/>
      <c r="B374" s="12"/>
      <c r="C374" s="12"/>
    </row>
    <row r="380" spans="1:3" x14ac:dyDescent="0.2">
      <c r="A380" s="12"/>
      <c r="B380" s="12"/>
      <c r="C380" s="12"/>
    </row>
    <row r="381" spans="1:3" x14ac:dyDescent="0.2">
      <c r="A381" s="12"/>
      <c r="B381" s="12"/>
      <c r="C381" s="12"/>
    </row>
    <row r="382" spans="1:3" x14ac:dyDescent="0.2">
      <c r="A382" s="12"/>
      <c r="B382" s="12"/>
      <c r="C382" s="12"/>
    </row>
    <row r="383" spans="1:3" x14ac:dyDescent="0.2">
      <c r="A383" s="12"/>
      <c r="B383" s="12"/>
      <c r="C383" s="12"/>
    </row>
    <row r="384" spans="1:3" x14ac:dyDescent="0.2">
      <c r="A384" s="12"/>
      <c r="B384" s="12"/>
      <c r="C384" s="12"/>
    </row>
    <row r="385" spans="1:3" x14ac:dyDescent="0.2">
      <c r="A385" s="12"/>
      <c r="B385" s="12"/>
      <c r="C385" s="12"/>
    </row>
    <row r="386" spans="1:3" x14ac:dyDescent="0.2">
      <c r="A386" s="12"/>
      <c r="B386" s="12"/>
      <c r="C386" s="12"/>
    </row>
    <row r="392" spans="1:3" x14ac:dyDescent="0.2">
      <c r="A392" s="12"/>
      <c r="B392" s="12"/>
      <c r="C392" s="12"/>
    </row>
    <row r="408" spans="1:3" x14ac:dyDescent="0.2">
      <c r="A408" s="12"/>
      <c r="B408" s="12"/>
      <c r="C408" s="12"/>
    </row>
    <row r="409" spans="1:3" x14ac:dyDescent="0.2">
      <c r="A409" s="12"/>
      <c r="B409" s="12"/>
      <c r="C409" s="12"/>
    </row>
    <row r="445" spans="1:3" x14ac:dyDescent="0.2">
      <c r="A445" s="12"/>
      <c r="B445" s="12"/>
      <c r="C445" s="12"/>
    </row>
    <row r="446" spans="1:3" x14ac:dyDescent="0.2">
      <c r="A446" s="12"/>
      <c r="B446" s="12"/>
      <c r="C446" s="12"/>
    </row>
    <row r="447" spans="1:3" x14ac:dyDescent="0.2">
      <c r="A447" s="12"/>
      <c r="B447" s="12"/>
      <c r="C447" s="12"/>
    </row>
    <row r="448" spans="1:3" x14ac:dyDescent="0.2">
      <c r="A448" s="12"/>
      <c r="B448" s="12"/>
      <c r="C448" s="12"/>
    </row>
    <row r="449" spans="1:3" x14ac:dyDescent="0.2">
      <c r="A449" s="12"/>
      <c r="B449" s="12"/>
      <c r="C449" s="12"/>
    </row>
    <row r="450" spans="1:3" x14ac:dyDescent="0.2">
      <c r="A450" s="12"/>
      <c r="B450" s="12"/>
      <c r="C450" s="12"/>
    </row>
    <row r="451" spans="1:3" x14ac:dyDescent="0.2">
      <c r="A451" s="12"/>
      <c r="B451" s="12"/>
      <c r="C451" s="12"/>
    </row>
    <row r="452" spans="1:3" x14ac:dyDescent="0.2">
      <c r="A452" s="12"/>
      <c r="B452" s="12"/>
      <c r="C452" s="12"/>
    </row>
    <row r="453" spans="1:3" x14ac:dyDescent="0.2">
      <c r="A453" s="12"/>
      <c r="B453" s="12"/>
      <c r="C453" s="12"/>
    </row>
    <row r="454" spans="1:3" x14ac:dyDescent="0.2">
      <c r="A454" s="12"/>
      <c r="B454" s="12"/>
      <c r="C454" s="12"/>
    </row>
    <row r="455" spans="1:3" x14ac:dyDescent="0.2">
      <c r="A455" s="12"/>
      <c r="B455" s="12"/>
      <c r="C455" s="12"/>
    </row>
    <row r="456" spans="1:3" x14ac:dyDescent="0.2">
      <c r="A456" s="12"/>
      <c r="B456" s="12"/>
      <c r="C456" s="12"/>
    </row>
    <row r="457" spans="1:3" x14ac:dyDescent="0.2">
      <c r="A457" s="12"/>
      <c r="B457" s="12"/>
      <c r="C457" s="12"/>
    </row>
    <row r="458" spans="1:3" x14ac:dyDescent="0.2">
      <c r="A458" s="12"/>
      <c r="B458" s="12"/>
      <c r="C458" s="12"/>
    </row>
    <row r="459" spans="1:3" x14ac:dyDescent="0.2">
      <c r="A459" s="12"/>
      <c r="B459" s="12"/>
      <c r="C459" s="12"/>
    </row>
    <row r="460" spans="1:3" x14ac:dyDescent="0.2">
      <c r="A460" s="12"/>
      <c r="B460" s="12"/>
      <c r="C460" s="12"/>
    </row>
    <row r="509" spans="1:3" x14ac:dyDescent="0.2">
      <c r="A509" s="12"/>
      <c r="B509" s="12"/>
      <c r="C509" s="12"/>
    </row>
    <row r="510" spans="1:3" x14ac:dyDescent="0.2">
      <c r="A510" s="12"/>
      <c r="B510" s="12"/>
      <c r="C510" s="12"/>
    </row>
    <row r="511" spans="1:3" x14ac:dyDescent="0.2">
      <c r="A511" s="12"/>
      <c r="B511" s="12"/>
      <c r="C511" s="12"/>
    </row>
    <row r="512" spans="1:3" x14ac:dyDescent="0.2">
      <c r="A512" s="12"/>
      <c r="B512" s="12"/>
      <c r="C512" s="12"/>
    </row>
    <row r="513" spans="1:3" x14ac:dyDescent="0.2">
      <c r="A513" s="12"/>
      <c r="B513" s="12"/>
      <c r="C513" s="12"/>
    </row>
    <row r="514" spans="1:3" x14ac:dyDescent="0.2">
      <c r="A514" s="12"/>
      <c r="B514" s="12"/>
      <c r="C514" s="12"/>
    </row>
    <row r="614" spans="1:3" x14ac:dyDescent="0.2">
      <c r="A614" s="12"/>
      <c r="B614" s="12"/>
      <c r="C614" s="12"/>
    </row>
    <row r="615" spans="1:3" x14ac:dyDescent="0.2">
      <c r="A615" s="12"/>
      <c r="B615" s="12"/>
      <c r="C615" s="12"/>
    </row>
    <row r="616" spans="1:3" x14ac:dyDescent="0.2">
      <c r="A616" s="12"/>
      <c r="B616" s="12"/>
      <c r="C616" s="12"/>
    </row>
    <row r="618" spans="1:3" x14ac:dyDescent="0.2">
      <c r="A618" s="12"/>
      <c r="B618" s="12"/>
      <c r="C618" s="12"/>
    </row>
    <row r="619" spans="1:3" x14ac:dyDescent="0.2">
      <c r="A619" s="12"/>
      <c r="B619" s="12"/>
      <c r="C619" s="12"/>
    </row>
    <row r="620" spans="1:3" x14ac:dyDescent="0.2">
      <c r="A620" s="12"/>
      <c r="B620" s="12"/>
      <c r="C620" s="12"/>
    </row>
    <row r="621" spans="1:3" x14ac:dyDescent="0.2">
      <c r="A621" s="12"/>
      <c r="B621" s="12"/>
      <c r="C621" s="12"/>
    </row>
    <row r="623" spans="1:3" x14ac:dyDescent="0.2">
      <c r="A623" s="12"/>
      <c r="B623" s="12"/>
      <c r="C623" s="12"/>
    </row>
    <row r="624" spans="1:3" x14ac:dyDescent="0.2">
      <c r="A624" s="12"/>
      <c r="B624" s="12"/>
      <c r="C624" s="12"/>
    </row>
    <row r="625" spans="1:3" x14ac:dyDescent="0.2">
      <c r="A625" s="12"/>
      <c r="B625" s="12"/>
      <c r="C625" s="12"/>
    </row>
    <row r="626" spans="1:3" x14ac:dyDescent="0.2">
      <c r="A626" s="12"/>
      <c r="B626" s="12"/>
      <c r="C626" s="12"/>
    </row>
    <row r="627" spans="1:3" x14ac:dyDescent="0.2">
      <c r="A627" s="12"/>
      <c r="B627" s="12"/>
      <c r="C627" s="12"/>
    </row>
    <row r="628" spans="1:3" x14ac:dyDescent="0.2">
      <c r="A628" s="12"/>
      <c r="B628" s="12"/>
      <c r="C628" s="12"/>
    </row>
    <row r="629" spans="1:3" x14ac:dyDescent="0.2">
      <c r="A629" s="12"/>
      <c r="B629" s="12"/>
      <c r="C629" s="12"/>
    </row>
    <row r="630" spans="1:3" x14ac:dyDescent="0.2">
      <c r="A630" s="12"/>
      <c r="B630" s="12"/>
      <c r="C630" s="12"/>
    </row>
    <row r="631" spans="1:3" x14ac:dyDescent="0.2">
      <c r="A631" s="12"/>
      <c r="B631" s="12"/>
      <c r="C631" s="12"/>
    </row>
    <row r="632" spans="1:3" x14ac:dyDescent="0.2">
      <c r="A632" s="12"/>
      <c r="B632" s="12"/>
      <c r="C632" s="12"/>
    </row>
    <row r="633" spans="1:3" x14ac:dyDescent="0.2">
      <c r="A633" s="12"/>
      <c r="B633" s="12"/>
      <c r="C633" s="12"/>
    </row>
    <row r="637" spans="1:3" x14ac:dyDescent="0.2">
      <c r="A637" s="12"/>
      <c r="B637" s="12"/>
      <c r="C637" s="12"/>
    </row>
    <row r="642" spans="1:3" x14ac:dyDescent="0.2">
      <c r="A642" s="12"/>
      <c r="B642" s="12"/>
      <c r="C642" s="12"/>
    </row>
    <row r="643" spans="1:3" x14ac:dyDescent="0.2">
      <c r="A643" s="12"/>
      <c r="B643" s="12"/>
      <c r="C643" s="12"/>
    </row>
    <row r="644" spans="1:3" x14ac:dyDescent="0.2">
      <c r="A644" s="12"/>
      <c r="B644" s="12"/>
      <c r="C644" s="12"/>
    </row>
    <row r="649" spans="1:3" x14ac:dyDescent="0.2">
      <c r="A649" s="12"/>
      <c r="B649" s="12"/>
      <c r="C649" s="12"/>
    </row>
    <row r="652" spans="1:3" x14ac:dyDescent="0.2">
      <c r="A652" s="12"/>
      <c r="B652" s="12"/>
      <c r="C652" s="12"/>
    </row>
    <row r="653" spans="1:3" x14ac:dyDescent="0.2">
      <c r="A653" s="12"/>
      <c r="B653" s="12"/>
      <c r="C653" s="12"/>
    </row>
    <row r="654" spans="1:3" x14ac:dyDescent="0.2">
      <c r="A654" s="12"/>
      <c r="B654" s="12"/>
      <c r="C654" s="12"/>
    </row>
    <row r="655" spans="1:3" x14ac:dyDescent="0.2">
      <c r="A655" s="12"/>
      <c r="B655" s="12"/>
      <c r="C655" s="12"/>
    </row>
    <row r="656" spans="1:3" x14ac:dyDescent="0.2">
      <c r="A656" s="12"/>
      <c r="B656" s="12"/>
      <c r="C656" s="12"/>
    </row>
    <row r="657" spans="1:3" x14ac:dyDescent="0.2">
      <c r="A657" s="12"/>
      <c r="B657" s="12"/>
      <c r="C657" s="12"/>
    </row>
    <row r="658" spans="1:3" x14ac:dyDescent="0.2">
      <c r="A658" s="12"/>
      <c r="B658" s="12"/>
      <c r="C658" s="12"/>
    </row>
    <row r="659" spans="1:3" x14ac:dyDescent="0.2">
      <c r="A659" s="12"/>
      <c r="B659" s="12"/>
      <c r="C659" s="12"/>
    </row>
    <row r="708" spans="1:3" x14ac:dyDescent="0.2">
      <c r="A708" s="12"/>
      <c r="B708" s="12"/>
      <c r="C708" s="12"/>
    </row>
    <row r="712" spans="1:3" x14ac:dyDescent="0.2">
      <c r="A712" s="12"/>
      <c r="B712" s="12"/>
      <c r="C712" s="12"/>
    </row>
    <row r="713" spans="1:3" x14ac:dyDescent="0.2">
      <c r="A713" s="12"/>
      <c r="B713" s="12"/>
      <c r="C713" s="12"/>
    </row>
    <row r="716" spans="1:3" x14ac:dyDescent="0.2">
      <c r="A716" s="12"/>
      <c r="B716" s="12"/>
      <c r="C716" s="12"/>
    </row>
    <row r="717" spans="1:3" x14ac:dyDescent="0.2">
      <c r="A717" s="12"/>
      <c r="B717" s="12"/>
      <c r="C717" s="12"/>
    </row>
  </sheetData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UpdateModel" altText="👉 Update Model">
                <anchor moveWithCells="1">
                  <from>
                    <xdr:col>5</xdr:col>
                    <xdr:colOff>685800</xdr:colOff>
                    <xdr:row>4</xdr:row>
                    <xdr:rowOff>88900</xdr:rowOff>
                  </from>
                  <to>
                    <xdr:col>6</xdr:col>
                    <xdr:colOff>3784600</xdr:colOff>
                    <xdr:row>7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tData">
                <anchor moveWithCells="1" sizeWithCells="1">
                  <from>
                    <xdr:col>8</xdr:col>
                    <xdr:colOff>76200</xdr:colOff>
                    <xdr:row>0</xdr:row>
                    <xdr:rowOff>114300</xdr:rowOff>
                  </from>
                  <to>
                    <xdr:col>8</xdr:col>
                    <xdr:colOff>2527300</xdr:colOff>
                    <xdr:row>3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E51"/>
  <sheetViews>
    <sheetView zoomScaleNormal="100" workbookViewId="0">
      <selection activeCell="C1" sqref="C1"/>
    </sheetView>
  </sheetViews>
  <sheetFormatPr baseColWidth="10" defaultColWidth="8.83203125" defaultRowHeight="15" x14ac:dyDescent="0.2"/>
  <cols>
    <col min="1" max="1" width="10.6640625" bestFit="1" customWidth="1"/>
    <col min="2" max="2" width="5.1640625" customWidth="1"/>
    <col min="3" max="3" width="96.83203125" bestFit="1" customWidth="1"/>
  </cols>
  <sheetData>
    <row r="1" spans="1:5" x14ac:dyDescent="0.2">
      <c r="A1" s="1"/>
    </row>
    <row r="2" spans="1:5" x14ac:dyDescent="0.2">
      <c r="C2" s="31" t="s">
        <v>139</v>
      </c>
    </row>
    <row r="3" spans="1:5" x14ac:dyDescent="0.2">
      <c r="C3" t="s">
        <v>141</v>
      </c>
    </row>
    <row r="4" spans="1:5" x14ac:dyDescent="0.2">
      <c r="C4" t="s">
        <v>140</v>
      </c>
    </row>
    <row r="6" spans="1:5" x14ac:dyDescent="0.2">
      <c r="A6" s="1"/>
      <c r="C6" s="31" t="s">
        <v>44</v>
      </c>
    </row>
    <row r="7" spans="1:5" x14ac:dyDescent="0.2">
      <c r="A7" s="1"/>
      <c r="C7" t="s">
        <v>142</v>
      </c>
      <c r="E7" s="4"/>
    </row>
    <row r="8" spans="1:5" x14ac:dyDescent="0.2">
      <c r="A8" s="1"/>
      <c r="C8" t="s">
        <v>143</v>
      </c>
      <c r="E8" s="3"/>
    </row>
    <row r="9" spans="1:5" x14ac:dyDescent="0.2">
      <c r="A9" s="1"/>
      <c r="C9" t="s">
        <v>144</v>
      </c>
    </row>
    <row r="10" spans="1:5" x14ac:dyDescent="0.2">
      <c r="A10" s="1"/>
    </row>
    <row r="11" spans="1:5" x14ac:dyDescent="0.2">
      <c r="A11" s="1"/>
    </row>
    <row r="12" spans="1:5" x14ac:dyDescent="0.2">
      <c r="A12" s="1"/>
    </row>
    <row r="13" spans="1:5" x14ac:dyDescent="0.2">
      <c r="A13" s="1"/>
    </row>
    <row r="14" spans="1:5" x14ac:dyDescent="0.2">
      <c r="A14" s="1"/>
    </row>
    <row r="15" spans="1:5" x14ac:dyDescent="0.2">
      <c r="A15" s="1"/>
      <c r="C15" s="3"/>
    </row>
    <row r="16" spans="1:5" x14ac:dyDescent="0.2">
      <c r="A16" s="1"/>
      <c r="E16" s="3"/>
    </row>
    <row r="17" spans="1:3" x14ac:dyDescent="0.2">
      <c r="A17" s="1"/>
      <c r="B17" s="3"/>
      <c r="C17" s="3"/>
    </row>
    <row r="18" spans="1:3" x14ac:dyDescent="0.2">
      <c r="A18" s="1"/>
      <c r="C18" s="20"/>
    </row>
    <row r="19" spans="1:3" x14ac:dyDescent="0.2">
      <c r="A19" s="1"/>
      <c r="B19" s="3"/>
      <c r="C19" s="4"/>
    </row>
    <row r="20" spans="1:3" x14ac:dyDescent="0.2">
      <c r="A20" s="1"/>
      <c r="B20" s="3"/>
      <c r="C20" s="3"/>
    </row>
    <row r="21" spans="1:3" x14ac:dyDescent="0.2">
      <c r="A21" s="1"/>
    </row>
    <row r="22" spans="1:3" x14ac:dyDescent="0.2">
      <c r="A22" s="1"/>
      <c r="B22" s="3"/>
      <c r="C22" s="3"/>
    </row>
    <row r="23" spans="1:3" x14ac:dyDescent="0.2">
      <c r="A23" s="1"/>
      <c r="C23" s="20"/>
    </row>
    <row r="24" spans="1:3" x14ac:dyDescent="0.2">
      <c r="A24" s="1"/>
    </row>
    <row r="25" spans="1:3" x14ac:dyDescent="0.2">
      <c r="A25" s="1"/>
    </row>
    <row r="26" spans="1:3" x14ac:dyDescent="0.2">
      <c r="A26" s="1"/>
      <c r="C26" s="3"/>
    </row>
    <row r="28" spans="1:3" x14ac:dyDescent="0.2">
      <c r="B28" s="3"/>
      <c r="C28" s="3"/>
    </row>
    <row r="31" spans="1:3" x14ac:dyDescent="0.2">
      <c r="B31" s="3"/>
      <c r="C31" s="3"/>
    </row>
    <row r="33" spans="2:3" x14ac:dyDescent="0.2">
      <c r="B33" s="3"/>
      <c r="C33" s="3"/>
    </row>
    <row r="37" spans="2:3" x14ac:dyDescent="0.2">
      <c r="B37" s="3"/>
      <c r="C37" s="3"/>
    </row>
    <row r="40" spans="2:3" x14ac:dyDescent="0.2">
      <c r="C40" s="3"/>
    </row>
    <row r="41" spans="2:3" x14ac:dyDescent="0.2">
      <c r="C41" s="20"/>
    </row>
    <row r="43" spans="2:3" x14ac:dyDescent="0.2">
      <c r="C43" s="3"/>
    </row>
    <row r="45" spans="2:3" x14ac:dyDescent="0.2">
      <c r="B45" s="3"/>
    </row>
    <row r="46" spans="2:3" x14ac:dyDescent="0.2">
      <c r="B46" s="3"/>
    </row>
    <row r="47" spans="2:3" x14ac:dyDescent="0.2">
      <c r="B47" s="3"/>
    </row>
    <row r="48" spans="2:3" x14ac:dyDescent="0.2">
      <c r="B48" s="3"/>
    </row>
    <row r="49" spans="2:2" x14ac:dyDescent="0.2">
      <c r="B49" s="3"/>
    </row>
    <row r="51" spans="2:2" x14ac:dyDescent="0.2">
      <c r="B51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2:B9"/>
  <sheetViews>
    <sheetView zoomScale="130" zoomScaleNormal="130" workbookViewId="0">
      <selection activeCell="E40" sqref="E40"/>
    </sheetView>
  </sheetViews>
  <sheetFormatPr baseColWidth="10" defaultColWidth="8.83203125" defaultRowHeight="15" x14ac:dyDescent="0.2"/>
  <cols>
    <col min="2" max="2" width="42.83203125" bestFit="1" customWidth="1"/>
  </cols>
  <sheetData>
    <row r="2" spans="2:2" x14ac:dyDescent="0.2">
      <c r="B2" s="2" t="s">
        <v>45</v>
      </c>
    </row>
    <row r="3" spans="2:2" x14ac:dyDescent="0.2">
      <c r="B3" t="s">
        <v>150</v>
      </c>
    </row>
    <row r="4" spans="2:2" x14ac:dyDescent="0.2">
      <c r="B4" s="2" t="s">
        <v>151</v>
      </c>
    </row>
    <row r="6" spans="2:2" x14ac:dyDescent="0.2">
      <c r="B6" s="2" t="str">
        <f>HYPERLINK("mailto:support@henrychien.com?subject=Feedback on Model Updater","Send us feedback or report an issue!")</f>
        <v>Send us feedback or report an issue!</v>
      </c>
    </row>
    <row r="9" spans="2:2" x14ac:dyDescent="0.2">
      <c r="B9" s="2"/>
    </row>
  </sheetData>
  <hyperlinks>
    <hyperlink ref="B2" r:id="rId1" display="https://www.financialmodelupdater.com/" xr:uid="{FB25AE5A-C5D7-FD4B-8197-5D2E5F3081EB}"/>
    <hyperlink ref="B4" r:id="rId2" xr:uid="{B61512DC-92F7-444D-A4CA-4E2BEC5F29B0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Raw_data</vt:lpstr>
      <vt:lpstr>Readme</vt:lpstr>
      <vt:lpstr>Source</vt:lpstr>
    </vt:vector>
  </TitlesOfParts>
  <Manager/>
  <Company>Stock Investor Accelerator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Henry Chien</dc:creator>
  <cp:keywords/>
  <dc:description/>
  <cp:lastModifiedBy>Henry Chien</cp:lastModifiedBy>
  <dcterms:created xsi:type="dcterms:W3CDTF">2019-01-04T18:20:31Z</dcterms:created>
  <dcterms:modified xsi:type="dcterms:W3CDTF">2025-05-19T22:31:49Z</dcterms:modified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{A44787D4-0540-4523-9961-78E4036D8C6D}">
    <vt:lpwstr>{98E2597A-3EA7-454A-A794-C260C2621745}</vt:lpwstr>
  </property>
</Properties>
</file>