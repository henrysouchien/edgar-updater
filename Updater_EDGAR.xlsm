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E94EB7D2-BF93-B14E-B593-1C00B1670061}" xr6:coauthVersionLast="47" xr6:coauthVersionMax="47" xr10:uidLastSave="{00000000-0000-0000-0000-000000000000}"/>
  <bookViews>
    <workbookView xWindow="5120" yWindow="640" windowWidth="28860" windowHeight="217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19" i="1"/>
</calcChain>
</file>

<file path=xl/sharedStrings.xml><?xml version="1.0" encoding="utf-8"?>
<sst xmlns="http://schemas.openxmlformats.org/spreadsheetml/2006/main" count="554" uniqueCount="297">
  <si>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</si>
  <si>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</si>
  <si>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</si>
  <si>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</si>
  <si>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</si>
  <si>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</si>
  <si>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</si>
  <si>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</si>
  <si>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</si>
  <si>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</si>
  <si>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</si>
  <si>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Collision Rate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</si>
  <si>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</si>
  <si>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</si>
  <si>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</si>
  <si>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</si>
  <si>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</si>
  <si>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</si>
  <si>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</si>
  <si>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</si>
  <si>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</si>
  <si>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</si>
  <si>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</si>
  <si>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</si>
  <si>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</si>
  <si>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</si>
  <si>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</si>
  <si>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us-gaap:OperatingLeaseLiabilityNoncurrent</t>
  </si>
  <si>
    <t>us-gaap:OperatingLeaseRightOfUseAsset</t>
  </si>
  <si>
    <t>us-gaap:CommonStockParOrStatedValuePerShare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</si>
  <si>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</si>
  <si>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</si>
  <si>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</si>
  <si>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</si>
  <si>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</si>
  <si>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</si>
  <si>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</si>
  <si>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</si>
  <si>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</si>
  <si>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</si>
  <si>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</si>
  <si>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us-gaap:ContractWithCustomerLiabilityCurrent</t>
  </si>
  <si>
    <t>us-gaap:ComprehensiveIncomeNetOfTax</t>
  </si>
  <si>
    <t>us-gaap:OtherComprehensiveIncomeLossNetOfTaxPortionAttributableToParent</t>
  </si>
  <si>
    <t>us-gaap:IncomeTaxExpenseBenefit</t>
  </si>
  <si>
    <t>Step 1:</t>
  </si>
  <si>
    <t>Step 2:</t>
  </si>
  <si>
    <t>Step 3:</t>
  </si>
  <si>
    <t>https://www.henrychien.com/</t>
  </si>
  <si>
    <t>Copyright © 2025 Henry Chien LLC</t>
  </si>
  <si>
    <t>All rights reserved</t>
  </si>
  <si>
    <t>Instructions:</t>
  </si>
  <si>
    <t>TO UPDATE FINANCIAL MODEL:</t>
  </si>
  <si>
    <t xml:space="preserve">Don't run macro on cells with formula with hardcoded constants (i.e. /365) </t>
  </si>
  <si>
    <t>MACRO NOTES:</t>
  </si>
  <si>
    <t>"1" Values</t>
  </si>
  <si>
    <t>Constants</t>
  </si>
  <si>
    <t>Formulas</t>
  </si>
  <si>
    <t>Financial Model Updater</t>
  </si>
  <si>
    <t>Author: Henry Chien</t>
  </si>
  <si>
    <t>Set the conversion factor to match your model's formatting</t>
  </si>
  <si>
    <t>3. Select cells you want to update</t>
  </si>
  <si>
    <t>Estimated % of cells to review after update</t>
  </si>
  <si>
    <t>2. Click the Update Model button to launch the macro</t>
  </si>
  <si>
    <t xml:space="preserve">  Example: If your model shows "4.296" but filings show "4,293", use 1000</t>
  </si>
  <si>
    <t xml:space="preserve">  If no adjustment needed, make it =1</t>
  </si>
  <si>
    <t xml:space="preserve">  Often due to restatements, changes, custom tagging, etc.</t>
  </si>
  <si>
    <t>1. Open your financial model in Excel</t>
  </si>
  <si>
    <t>Or manual: Paste in prior-period and current-period data into Raw_data worksheet</t>
  </si>
  <si>
    <t>Open your financial model in Excel</t>
  </si>
  <si>
    <t>Your model is now updated - review any flagged cells and check filings for new disclosures</t>
  </si>
  <si>
    <t>Watch out for "1" values in prior periods (rare, but happens)</t>
  </si>
  <si>
    <t>→ Macro skips "1" values to preserve (=x/y-1) type formulas</t>
  </si>
  <si>
    <t>→  Manually update these if needed</t>
  </si>
  <si>
    <t>→ These may be overwritten -e.g. prior 365-day expense &gt; updated to new value</t>
  </si>
  <si>
    <t>Example: (=5.836-BO197) for quarterly cash flow gets updated</t>
  </si>
  <si>
    <t>KPI's /Non-Filing Metrics</t>
  </si>
  <si>
    <t>To update tracked metrics (KPI's or restatements, etc.):</t>
  </si>
  <si>
    <t>→ Paste in prior-period values in column C</t>
  </si>
  <si>
    <t>→ Paste in current-period values in Column B</t>
  </si>
  <si>
    <t>→ If no updated value exists, macro inserts "0"  i.e., (=0-BO197) to preserve formula structure</t>
  </si>
  <si>
    <t>✅ DONE!</t>
  </si>
  <si>
    <t xml:space="preserve">✅ Yes, you can update formulas with values </t>
  </si>
  <si>
    <t>📝 Note: Your model must already contain prior-period values for proper updates</t>
  </si>
  <si>
    <t>Click "Update Model" button to launch the macro → select cells in your model to update</t>
  </si>
  <si>
    <t>public</t>
  </si>
  <si>
    <t>/Users/henrychien/Downloads</t>
  </si>
  <si>
    <t>us-gaap:IncomeTaxesPaidNet</t>
  </si>
  <si>
    <t>us-gaap:IncreaseDecreaseInAccountsReceivable</t>
  </si>
  <si>
    <t>us-gaap:IncreaseDecreaseInContractWithCustomerLiability</t>
  </si>
  <si>
    <t>us-gaap:PaymentsToAcquirePropertyPlantAndEquipment</t>
  </si>
  <si>
    <t>us-gaap:AccumulatedOtherComprehensiveIncomeLossNetOfTax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</si>
  <si>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</si>
  <si>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</si>
  <si>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</si>
  <si>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</si>
  <si>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</si>
  <si>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us-gaap:RetainedEarningsAccumulatedDeficit</t>
  </si>
  <si>
    <t>us-gaap:CommonStockSharesAuthorized</t>
  </si>
  <si>
    <t>us-gaap:PreferredStockSharesAuthorized</t>
  </si>
  <si>
    <t>us-gaap:CommonStockSharesIssued</t>
  </si>
  <si>
    <t>us-gaap:FiniteLivedIntangibleAssetsNet</t>
  </si>
  <si>
    <t>us-gaap:ResearchAndDevelopmentExpense</t>
  </si>
  <si>
    <t>us-gaap:SellingAndMarketingExpense</t>
  </si>
  <si>
    <t>us-gaap:NonoperatingIncomeExpense</t>
  </si>
  <si>
    <t>us-gaap:AdjustmentsToAdditionalPaidInCapitalSharebasedCompensationRequisiteServicePeriodRecognitionValue</t>
  </si>
  <si>
    <t>us-gaap:FiniteLivedIntangibleAssetsAccumulatedAmortization</t>
  </si>
  <si>
    <t>us-gaap:FiniteLivedIntangibleAssetsGross</t>
  </si>
  <si>
    <t>us-gaap:LeaseCost</t>
  </si>
  <si>
    <t>us-gaap:OperatingLeaseCost</t>
  </si>
  <si>
    <t>us-gaap:ShortTermLeaseCost</t>
  </si>
  <si>
    <t>us-gaap:VariableLeaseCost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</si>
  <si>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</si>
  <si>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</si>
  <si>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</si>
  <si>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API Key:</t>
  </si>
  <si>
    <r>
      <t>Configuration Settings</t>
    </r>
    <r>
      <rPr>
        <i/>
        <u/>
        <sz val="11"/>
        <color theme="1"/>
        <rFont val="Calibri"/>
        <family val="2"/>
        <scheme val="minor"/>
      </rPr>
      <t xml:space="preserve"> - don't move these cells</t>
    </r>
  </si>
  <si>
    <t>us-gaap:DepreciationDepletionAndAmortization</t>
  </si>
  <si>
    <t>incometaxesdetails</t>
  </si>
  <si>
    <t>For In-Excel download via web request:</t>
  </si>
  <si>
    <t>Paste in your download path</t>
  </si>
  <si>
    <t>consolidatedstatementsofcashflows</t>
  </si>
  <si>
    <t>us-gaap:DeferredIncomeTaxExpenseBenefit</t>
  </si>
  <si>
    <t>us-gaap:Depreciation</t>
  </si>
  <si>
    <t>us-gaap:IncrementalCommonSharesAttributableToShareBasedPaymentArrangements</t>
  </si>
  <si>
    <t>us-gaap:NetIncomeLoss</t>
  </si>
  <si>
    <t>us-gaap:AccumulatedDepreciationDepletionAndAmortizationPropertyPlantAndEquipment</t>
  </si>
  <si>
    <t>us-gaap:DeferredIncomeTaxLiabilities</t>
  </si>
  <si>
    <t>us-gaap:DeferredTaxAssetsGross</t>
  </si>
  <si>
    <t>us-gaap:DeferredTaxAssetsNet</t>
  </si>
  <si>
    <t>us-gaap:DeferredTaxAssetsOperatingLossCarryforwards</t>
  </si>
  <si>
    <t>us-gaap:DeferredTaxAssetsTaxCreditCarryforwards</t>
  </si>
  <si>
    <t>us-gaap:DeferredTaxLiabilitiesGoodwillAndIntangibleAssetsIntangibleAssets</t>
  </si>
  <si>
    <t>us-gaap:PropertyPlantAndEquipmentGross</t>
  </si>
  <si>
    <t>us-gaap:ShareBasedCompensationArrangementByShareBasedPaymentAwardOptionsOutstandingNumber</t>
  </si>
  <si>
    <t>us-gaap:ShareBasedCompensationArrangementByShareBasedPaymentAwardOptionsOutstandingWeightedAverageExercisePrice</t>
  </si>
  <si>
    <t>us-gaap:UnrecognizedTaxBenefits</t>
  </si>
  <si>
    <t>us-gaap:AllowanceForDoubtfulAccountsReceivableWriteOffs</t>
  </si>
  <si>
    <t>us-gaap:ProvisionForDoubtfulAccounts</t>
  </si>
  <si>
    <t>Downloads Folder:</t>
  </si>
  <si>
    <t>Register for your own API for more usage</t>
  </si>
  <si>
    <t xml:space="preserve">Tip: Right-click &gt; Properties &gt; Location (copy and paste entire path into cell) </t>
  </si>
  <si>
    <t>&gt;&gt;&gt;</t>
  </si>
  <si>
    <t xml:space="preserve">  Values with potentially ambiguous matches</t>
  </si>
  <si>
    <t>Show Alerts:</t>
  </si>
  <si>
    <t>"False" to turn off pop-up message boxes</t>
  </si>
  <si>
    <t>PCTY</t>
  </si>
  <si>
    <t>pcty:CapitalizedContractCostAdditions</t>
  </si>
  <si>
    <t>revenuedeferredcontractcostsdetails</t>
  </si>
  <si>
    <t>pcty:EffectiveIncomeTaxRateReconciliationShareBasedCompensationCost</t>
  </si>
  <si>
    <t>pcty:EffectiveIncomeTaxRateReconciliationTaxCreditResearchAndDevelopmentNet</t>
  </si>
  <si>
    <t>pcty:ExcessIncomeTaxBenefitsRecognizedForShareBasedCompensationArrangements</t>
  </si>
  <si>
    <t>benefitplanscompensationexpensedetails</t>
  </si>
  <si>
    <t>pcty:IncreaseDecreaseInAccruedLiabilitiesAndOtherLiabilities</t>
  </si>
  <si>
    <t>pcty:IncreaseDecreaseInCapitalizedContractCost</t>
  </si>
  <si>
    <t>pcty:IncreaseDecreaseInClientFundsObligation</t>
  </si>
  <si>
    <t>pcty:NetSettledEquityAwardsInShares</t>
  </si>
  <si>
    <t>consolidatedstatementofchangesinstockholdersequity</t>
  </si>
  <si>
    <t>pcty:NetSettlementForTaxesAndExercisePriceRelatedToEquityAwards</t>
  </si>
  <si>
    <t>pcty:StockIssuedDuringPeriodSharesRestrictedStockUnitsVesting</t>
  </si>
  <si>
    <t>pcty:TotalRevenueRecognizedFromBothBeginningBalanceAndCurrentPeriodIncreaseInContractLiability</t>
  </si>
  <si>
    <t>revenuedeferredrevenuedetails</t>
  </si>
  <si>
    <t>us-gaap:AccretionAmortizationOfDiscountsAndPremiumsInvestments</t>
  </si>
  <si>
    <t>us-gaap:AdvertisingExpense</t>
  </si>
  <si>
    <t>summaryofsignificantaccountingpoliciesadvertisingdetails</t>
  </si>
  <si>
    <t>us-gaap:AllocatedShareBasedCompensationExpense</t>
  </si>
  <si>
    <t>benefitplanscompensationexpensedetails|benefitplansesppinformationdetails</t>
  </si>
  <si>
    <t>accountsreceivablenetdetails</t>
  </si>
  <si>
    <t>goodwillandintangibleassetsdetails</t>
  </si>
  <si>
    <t>us-gaap:AntidilutiveSecuritiesExcludedFromComputationOfEarningsPerShareAmount</t>
  </si>
  <si>
    <t>netincomepersharesummaryofantidilutivesecuritiesdetails</t>
  </si>
  <si>
    <t>us-gaap:CapitalizedComputerSoftwareAmortization1</t>
  </si>
  <si>
    <t>capitalizedinternalusesoftwaredetails</t>
  </si>
  <si>
    <t>us-gaap:CapitalizedContractCostAmortization</t>
  </si>
  <si>
    <t>consolidatedstatementsofoperationsandcomprehensiveincome</t>
  </si>
  <si>
    <t>us-gaap:CostOfGoodsAndServicesSold</t>
  </si>
  <si>
    <t>us-gaap:CurrentFederalTaxExpenseBenefit</t>
  </si>
  <si>
    <t>us-gaap:CurrentStateAndLocalTaxExpenseBenefit</t>
  </si>
  <si>
    <t>us-gaap:DeferredFederalIncomeTaxExpenseBenefit</t>
  </si>
  <si>
    <t>us-gaap:DeferredStateAndLocalIncomeTaxExpenseBenefit</t>
  </si>
  <si>
    <t>us-gaap:DefinedContributionPlanCostRecognized</t>
  </si>
  <si>
    <t>benefitplans401kplandetails</t>
  </si>
  <si>
    <t>propertyandequipmentdetails</t>
  </si>
  <si>
    <t>consolidatedstatementsofoperationsandcomprehensiveincome|netincomepersharescheduleofcalculationofbasicanddilutednetincomepersharedetails</t>
  </si>
  <si>
    <t>us-gaap:EffectiveIncomeTaxRateReconciliationAtFederalStatutoryIncomeTaxRate</t>
  </si>
  <si>
    <t>us-gaap:EffectiveIncomeTaxRateReconciliationChangeInDeferredTaxAssetsValuationAllowance</t>
  </si>
  <si>
    <t>us-gaap:EffectiveIncomeTaxRateReconciliationNondeductibleExpense</t>
  </si>
  <si>
    <t>us-gaap:EffectiveIncomeTaxRateReconciliationOtherAdjustments</t>
  </si>
  <si>
    <t>us-gaap:EffectiveIncomeTaxRateReconciliationStateAndLocalIncomeTaxes</t>
  </si>
  <si>
    <t>us-gaap:EmployeeServiceShareBasedCompensationAllocationOfRecognizedPeriodCostsCapitalizedAmount</t>
  </si>
  <si>
    <t>us-gaap:GrossProfit</t>
  </si>
  <si>
    <t>consolidatedstatementsofoperationsandcomprehensiveincome|incometaxesdetails</t>
  </si>
  <si>
    <t>us-gaap:IncreaseDecreaseInAccountsPayableTrade</t>
  </si>
  <si>
    <t>us-gaap:IncreaseDecreaseInPrepaidExpense</t>
  </si>
  <si>
    <t>netincomepersharescheduleofcalculationofbasicanddilutednetincomepersharedetails</t>
  </si>
  <si>
    <t>leasesoperatingleasecomponentsdetails</t>
  </si>
  <si>
    <t>consolidatedstatementofchangesinstockholdersequity|consolidatedstatementsofoperationsandcomprehensiveincome|pvpdisclosure</t>
  </si>
  <si>
    <t>us-gaap:NoncashOrPartNoncashAcquisitionValueOfLiabilitiesAssumed1</t>
  </si>
  <si>
    <t>us-gaap:OperatingExpenses</t>
  </si>
  <si>
    <t>us-gaap:OperatingLeasePaymentsUse</t>
  </si>
  <si>
    <t>leasessupplementalcashflowinformationdetails</t>
  </si>
  <si>
    <t>us-gaap:PaymentsRelatedToTaxWithholdingForShareBasedCompensation</t>
  </si>
  <si>
    <t>us-gaap:PaymentsToAcquireAvailableForSaleSecuritiesDebt</t>
  </si>
  <si>
    <t>us-gaap:PaymentsToDevelopSoftware</t>
  </si>
  <si>
    <t>us-gaap:ProceedsFromIssuanceOfSharesUnderIncentiveAndShareBasedCompensationPlans</t>
  </si>
  <si>
    <t>us-gaap:ProceedsFromPaymentsForOtherFinancingActivities</t>
  </si>
  <si>
    <t>us-gaap:ProceedsFromSaleAndMaturityOfAvailableForSaleSecurities</t>
  </si>
  <si>
    <t>accountsreceivablenetdetails|consolidatedstatementsofcashflows</t>
  </si>
  <si>
    <t>consolidatedstatementsofoperationsandcomprehensiveincome|revenuedisaggregationdetails</t>
  </si>
  <si>
    <t>us-gaap:RevenueNotFromContractWithCustomer</t>
  </si>
  <si>
    <t>us-gaap:Revenues</t>
  </si>
  <si>
    <t>us-gaap:ShareBasedCompensationArrangementByShareBasedPaymentAwardFairValueAssumptionsExpectedDividendRate</t>
  </si>
  <si>
    <t>benefitplansesppinformationdetails|benefitplansmsuactivitydetails</t>
  </si>
  <si>
    <t>us-gaap:ShareBasedCompensationArrangementByShareBasedPaymentAwardFairValueAssumptionsExpectedVolatilityRate</t>
  </si>
  <si>
    <t>us-gaap:ShareBasedCompensationArrangementByShareBasedPaymentAwardFairValueAssumptionsRiskFreeInterestRate</t>
  </si>
  <si>
    <t>us-gaap:ShareBasedCompensationArrangementByShareBasedPaymentAwardOptionsExercisesInPeriodTotalIntrinsicValue</t>
  </si>
  <si>
    <t>benefitplansstockoptionactivitydetails</t>
  </si>
  <si>
    <t>us-gaap:SharebasedCompensationArrangementBySharebasedPaymentAwardFairValueAssumptionsExpectedTerm1</t>
  </si>
  <si>
    <t>us-gaap:SharebasedCompensationArrangementBySharebasedPaymentAwardOptionsOutstandingWeightedAverageRemainingContractualTerm2</t>
  </si>
  <si>
    <t>us-gaap:StockIssuedDuringPeriodSharesEmployeeStockPurchasePlans</t>
  </si>
  <si>
    <t>benefitplansesppinformationdetails|consolidatedstatementofchangesinstockholdersequity</t>
  </si>
  <si>
    <t>us-gaap:StockIssuedDuringPeriodSharesStockOptionsExercised</t>
  </si>
  <si>
    <t>benefitplansstockoptionactivitydetails|consolidatedstatementofchangesinstockholdersequity</t>
  </si>
  <si>
    <t>us-gaap:StockIssuedDuringPeriodValueStockOptionsExercised</t>
  </si>
  <si>
    <t>us-gaap:UnrecognizedTaxBenefitsIncreasesResultingFromCurrentPeriodTaxPositions</t>
  </si>
  <si>
    <t>incometaxescarryforwardsdetails</t>
  </si>
  <si>
    <t>pcty:AccruedInterestOnFundsHeldForClients</t>
  </si>
  <si>
    <t>pcty:AssetsCurrentBeforeFundsHeldForClients</t>
  </si>
  <si>
    <t>consolidatedbalancesheets</t>
  </si>
  <si>
    <t>pcty:CashAndCashEquivalentsAmortizedCost</t>
  </si>
  <si>
    <t>cashandcashequivalentsandfundsheldforclientsreconciliationdetails</t>
  </si>
  <si>
    <t>pcty:CashCashEquivalentsFundsHeldForClientsCashAndCashEquivalents</t>
  </si>
  <si>
    <t>pcty:ClientFundObligationsCurrent</t>
  </si>
  <si>
    <t>pcty:DeferredTaxAssetsOperatingLeaseLiabilities</t>
  </si>
  <si>
    <t>pcty:DeferredTaxAssetsTaxDeferredExpenseCapitalizedResearchAndDevelopmentCosts</t>
  </si>
  <si>
    <t>pcty:DeferredTaxLiabilitiesDeferredContractCosts</t>
  </si>
  <si>
    <t>pcty:DeferredTaxLiabilitiesOperatingLeaseRightOfUseAssets</t>
  </si>
  <si>
    <t>pcty:FundsHeldForClientsCashAndCashEquivalents</t>
  </si>
  <si>
    <t>cashandcashequivalentsandfundsheldforclientsreconciliationdetails|consolidatedstatementsofcashflows|fairvaluemeasurementdetails</t>
  </si>
  <si>
    <t>pcty:InvestmentsAccumulatedGrossUnrealizedGainBeforeTax</t>
  </si>
  <si>
    <t>pcty:InvestmentsAccumulatedGrossUnrealizedLossBeforeTax</t>
  </si>
  <si>
    <t>pcty:InvestmentsAmortizedCost</t>
  </si>
  <si>
    <t>pcty:LiabilitiesCurrentBeforeClientFundObligations</t>
  </si>
  <si>
    <t>pcty:TradeReceivables</t>
  </si>
  <si>
    <t>us-gaap:AccountsReceivableGrossCurrent</t>
  </si>
  <si>
    <t>us-gaap:AccountsReceivableNetCurrent</t>
  </si>
  <si>
    <t>accountsreceivablenetdetails|consolidatedbalancesheets</t>
  </si>
  <si>
    <t>us-gaap:AccruedLiabilitiesCurrent</t>
  </si>
  <si>
    <t>accruedexpensesdetails|consolidatedbalancesheets</t>
  </si>
  <si>
    <t>us-gaap:AccruedLiabilitiesCurrentAndNoncurrent</t>
  </si>
  <si>
    <t>leasesoperatingleaserouassetsoperatingleaseliabilitiesandothersupplementalinformationdetails</t>
  </si>
  <si>
    <t>us-gaap:AdditionalPaidInCapital</t>
  </si>
  <si>
    <t>us-gaap:AllowanceForDoubtfulAccountsReceivable</t>
  </si>
  <si>
    <t>us-gaap:AvailableForSaleDebtSecuritiesAccumulatedGrossUnrealizedGainBeforeTax</t>
  </si>
  <si>
    <t>us-gaap:AvailableForSaleDebtSecuritiesAccumulatedGrossUnrealizedLossBeforeTax</t>
  </si>
  <si>
    <t>us-gaap:AvailableForSaleDebtSecuritiesAmortizedCostBasis</t>
  </si>
  <si>
    <t>cashandcashequivalentsandfundsheldforclientsmaturitiesdetails|cashandcashequivalentsandfundsheldforclientsreconciliationdetails</t>
  </si>
  <si>
    <t>us-gaap:AvailableForSaleSecuritiesDebtSecurities</t>
  </si>
  <si>
    <t>cashandcashequivalentsandfundsheldforclientsmaturitiesdetails|cashandcashequivalentsandfundsheldforclientsreconciliationdetails|fairvaluemeasurementdetails</t>
  </si>
  <si>
    <t>us-gaap:CapitalizedComputerSoftwareAccumulatedAmortization</t>
  </si>
  <si>
    <t>us-gaap:CapitalizedComputerSoftwareGross</t>
  </si>
  <si>
    <t>us-gaap:CapitalizedComputerSoftwareNet</t>
  </si>
  <si>
    <t>capitalizedinternalusesoftwaredetails|consolidatedbalancesheets</t>
  </si>
  <si>
    <t>us-gaap:CapitalizedContractCostNet</t>
  </si>
  <si>
    <t>us-gaap:CapitalizedContractCostNetCurrent</t>
  </si>
  <si>
    <t>us-gaap:CapitalizedContractCostNetNoncurrent</t>
  </si>
  <si>
    <t>consolidatedbalancesheetsparenthetical</t>
  </si>
  <si>
    <t>us-gaap:ContractWithCustomerLiability</t>
  </si>
  <si>
    <t>accruedexpensesdetails</t>
  </si>
  <si>
    <t>us-gaap:DebtSecuritiesAvailableForSaleContinuousUnrealizedLossPosition12MonthsOrLonger</t>
  </si>
  <si>
    <t>cashandcashequivalentsandfundsheldforclientsclassificationdetails</t>
  </si>
  <si>
    <t>us-gaap:DebtSecuritiesAvailableForSaleContinuousUnrealizedLossPosition12MonthsOrLongerAccumulatedLoss</t>
  </si>
  <si>
    <t>us-gaap:DebtSecuritiesAvailableForSaleContinuousUnrealizedLossPositionLessThan12Months</t>
  </si>
  <si>
    <t>us-gaap:DebtSecuritiesAvailableForSaleContinuousUnrealizedLossPositionLessThan12MonthsAccumulatedLoss</t>
  </si>
  <si>
    <t>us-gaap:DebtSecuritiesAvailableForSaleUnrealizedLossPosition</t>
  </si>
  <si>
    <t>us-gaap:DeferredTaxAssetsTaxDeferredExpenseCompensationAndBenefitsShareBasedCompensationCost</t>
  </si>
  <si>
    <t>us-gaap:DeferredTaxAssetsTaxDeferredExpenseReservesAndAccrualsAccruedLiabilities</t>
  </si>
  <si>
    <t>us-gaap:DeferredTaxLiabilitiesPropertyPlantAndEquipment</t>
  </si>
  <si>
    <t>businesscombinationsdetails|goodwillandintangibleassetsdetails</t>
  </si>
  <si>
    <t>consolidatedbalancesheets|goodwillandintangibleassetsdetails</t>
  </si>
  <si>
    <t>us-gaap:FundsHeldForClients</t>
  </si>
  <si>
    <t>cashandcashequivalentsandfundsheldforclientsclassificationdetails|consolidatedbalancesheets</t>
  </si>
  <si>
    <t>businesscombinationsdetails|consolidatedbalancesheets|goodwillandintangibleassetsdetails</t>
  </si>
  <si>
    <t>us-gaap:Investments</t>
  </si>
  <si>
    <t>cashandcashequivalentsandfundsheldforclientsclassificationdetails|cashandcashequivalentsandfundsheldforclientsreconciliationdetails|fairvaluemeasurementdetails</t>
  </si>
  <si>
    <t>us-gaap:NontradeReceivablesCurrent</t>
  </si>
  <si>
    <t>consolidatedbalancesheets|leasesoperatingleaserouassetsoperatingleaseliabilitiesandothersupplementalinformationdetails</t>
  </si>
  <si>
    <t>us-gaap:PrepaidExpenseAndOtherAssetsNoncurrent</t>
  </si>
  <si>
    <t>consolidatedbalancesheets|propertyandequipmentdetails</t>
  </si>
  <si>
    <t>us-gaap:ShareBasedCompensationArrangementByShareBasedPaymentAwardEquityInstrumentsOtherThanOptionsNonvestedNumber</t>
  </si>
  <si>
    <t>benefitplansmsuactivitydetails|benefitplansrsuactivitydetails</t>
  </si>
  <si>
    <t>us-gaap:ShareBasedCompensationArrangementByShareBasedPaymentAwardEquityInstrumentsOtherThanOptionsNonvestedWeightedAverageGrantDateFairValue</t>
  </si>
  <si>
    <t>us-gaap:ShareBasedCompensationArrangementByShareBasedPaymentAwardOptionsOutstandingIntrinsicValue</t>
  </si>
  <si>
    <t>consolidatedbalancesheets|consolidatedstatementofchangesinstockholdersequity</t>
  </si>
  <si>
    <t>Get updated values from financialmodelupdater.com or click "Get New Data" to use macro to download data</t>
  </si>
  <si>
    <t>Link provided in financialmodelupdater.com to easy access to original filing</t>
  </si>
  <si>
    <t>→ Run macro as usual to update your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</si>
</sst>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45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0" fillId="0" borderId="3" xfId="0" applyBorder="1"/>
    <xf numFmtId="0" fontId="0" fillId="0" borderId="4" xfId="0" applyBorder="1"/>
    <xf numFmtId="0" fontId="1" fillId="0" borderId="3" xfId="0" applyFont="1" applyBorder="1"/>
    <xf numFmtId="0" fontId="1" fillId="0" borderId="4" xfId="0" applyFont="1" applyBorder="1"/>
    <xf numFmtId="0" fontId="14" fillId="0" borderId="4" xfId="0" applyFont="1" applyBorder="1"/>
    <xf numFmtId="0" fontId="14" fillId="0" borderId="5" xfId="0" applyFont="1" applyBorder="1"/>
    <xf numFmtId="0" fontId="0" fillId="0" borderId="1" xfId="0" applyBorder="1"/>
    <xf numFmtId="0" fontId="1" fillId="0" borderId="2" xfId="0" applyFont="1" applyBorder="1"/>
    <xf numFmtId="0" fontId="4" fillId="0" borderId="4" xfId="0" applyFont="1" applyBorder="1"/>
    <xf numFmtId="0" fontId="0" fillId="0" borderId="6" xfId="0" applyBorder="1"/>
    <xf numFmtId="0" fontId="1" fillId="3" borderId="8" xfId="0" applyFont="1" applyFill="1" applyBorder="1"/>
    <xf numFmtId="0" fontId="0" fillId="3" borderId="9" xfId="0" applyFill="1" applyBorder="1"/>
    <xf numFmtId="0" fontId="0" fillId="3" borderId="10" xfId="0" applyFill="1" applyBorder="1"/>
    <xf numFmtId="0" fontId="1" fillId="4" borderId="9" xfId="0" applyFont="1" applyFill="1" applyBorder="1" applyAlignment="1">
      <alignment horizontal="left"/>
    </xf>
    <xf numFmtId="0" fontId="16" fillId="4" borderId="8" xfId="0" applyFont="1" applyFill="1" applyBorder="1"/>
    <xf numFmtId="0" fontId="0" fillId="4" borderId="9" xfId="0" applyFill="1" applyBorder="1" applyAlignment="1">
      <alignment horizontal="left"/>
    </xf>
    <xf numFmtId="9" fontId="1" fillId="4" borderId="9" xfId="19" applyFont="1" applyFill="1" applyBorder="1" applyAlignment="1">
      <alignment horizontal="left"/>
    </xf>
    <xf numFmtId="0" fontId="18" fillId="4" borderId="9" xfId="0" applyFont="1" applyFill="1" applyBorder="1"/>
    <xf numFmtId="0" fontId="1" fillId="4" borderId="9" xfId="0" applyFont="1" applyFill="1" applyBorder="1"/>
    <xf numFmtId="0" fontId="20" fillId="5" borderId="7" xfId="0" applyFont="1" applyFill="1" applyBorder="1" applyAlignment="1">
      <alignment horizontal="left"/>
    </xf>
    <xf numFmtId="0" fontId="19" fillId="5" borderId="7" xfId="0" applyFont="1" applyFill="1" applyBorder="1" applyAlignment="1">
      <alignment horizontal="left"/>
    </xf>
    <xf numFmtId="0" fontId="19" fillId="5" borderId="7" xfId="0" applyFont="1" applyFill="1" applyBorder="1"/>
    <xf numFmtId="0" fontId="0" fillId="0" borderId="0" xfId="0" applyAlignment="1">
      <alignment horizontal="right"/>
    </xf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432FF"/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6</xdr:col>
          <xdr:colOff>3619500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New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/henrychien.com/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17"/>
  <sheetViews>
    <sheetView tabSelected="1" topLeftCell="F1" zoomScale="157" zoomScaleNormal="110" workbookViewId="0">
      <selection activeCell="I14" sqref="I14"/>
    </sheetView>
  </sheetViews>
  <sheetFormatPr baseColWidth="10" defaultColWidth="9.1640625" defaultRowHeight="15" x14ac:dyDescent="0.2"/>
  <cols>
    <col min="1" max="1" width="25.1640625" style="14" customWidth="1"/>
    <col min="2" max="3" width="14.1640625" style="15" customWidth="1"/>
    <col min="4" max="4" width="21.33203125" style="6" customWidth="1"/>
    <col min="5" max="5" width="12" style="6" customWidth="1"/>
    <col min="7" max="7" width="47.6640625" customWidth="1"/>
    <col min="8" max="8" width="8.5" customWidth="1"/>
    <col min="9" max="9" width="57" customWidth="1"/>
  </cols>
  <sheetData>
    <row r="1" spans="1:9" x14ac:dyDescent="0.2">
      <c r="A1" s="20" t="s">
        <v>0</v>
      </c>
      <c r="B1" s="20" t="s">
        <v>1</v>
      </c>
      <c r="C1" s="20" t="s">
        <v>2</v>
      </c>
      <c r="D1" s="4" t="s">
        <v>3</v>
      </c>
      <c r="E1" s="20" t="s">
        <v>4</v>
      </c>
      <c r="G1" s="7" t="s">
        <v>5</v>
      </c>
      <c r="H1" s="41" t="s">
        <v>146</v>
      </c>
    </row>
    <row r="2" spans="1:9" x14ac:dyDescent="0.2">
      <c r="A2" s="8" t="s">
        <v>147</v>
      </c>
      <c r="B2" s="8">
        <v>162300</v>
      </c>
      <c r="C2" s="9">
        <v>153761</v>
      </c>
      <c r="D2" s="9" t="s">
        <v>148</v>
      </c>
      <c r="E2" s="9">
        <v>0</v>
      </c>
      <c r="G2" s="7" t="s">
        <v>6</v>
      </c>
      <c r="H2" s="41">
        <v>2024</v>
      </c>
    </row>
    <row r="3" spans="1:9" x14ac:dyDescent="0.2">
      <c r="A3" s="8" t="s">
        <v>147</v>
      </c>
      <c r="B3" s="8">
        <v>78599</v>
      </c>
      <c r="C3" s="9">
        <v>72762</v>
      </c>
      <c r="D3" s="9" t="s">
        <v>148</v>
      </c>
      <c r="E3" s="9">
        <v>0</v>
      </c>
      <c r="G3" s="7" t="s">
        <v>7</v>
      </c>
      <c r="H3" s="41">
        <v>4</v>
      </c>
    </row>
    <row r="4" spans="1:9" x14ac:dyDescent="0.2">
      <c r="A4" s="8" t="s">
        <v>147</v>
      </c>
      <c r="B4" s="8">
        <v>83701</v>
      </c>
      <c r="C4" s="9">
        <v>80999</v>
      </c>
      <c r="D4" s="9" t="s">
        <v>148</v>
      </c>
      <c r="E4" s="9">
        <v>0</v>
      </c>
      <c r="G4" s="7" t="s">
        <v>8</v>
      </c>
      <c r="H4" s="41" t="b">
        <v>1</v>
      </c>
    </row>
    <row r="5" spans="1:9" x14ac:dyDescent="0.2">
      <c r="A5" s="8" t="s">
        <v>149</v>
      </c>
      <c r="B5" s="8">
        <v>2.7</v>
      </c>
      <c r="C5" s="9">
        <v>-6.1</v>
      </c>
      <c r="D5" s="9" t="s">
        <v>118</v>
      </c>
      <c r="E5" s="9">
        <v>0</v>
      </c>
    </row>
    <row r="6" spans="1:9" x14ac:dyDescent="0.2">
      <c r="A6" s="8" t="s">
        <v>150</v>
      </c>
      <c r="B6" s="8">
        <v>-2.9</v>
      </c>
      <c r="C6" s="9">
        <v>-3.1</v>
      </c>
      <c r="D6" s="9" t="s">
        <v>118</v>
      </c>
      <c r="E6" s="9">
        <v>0</v>
      </c>
    </row>
    <row r="7" spans="1:9" x14ac:dyDescent="0.2">
      <c r="A7" s="8" t="s">
        <v>151</v>
      </c>
      <c r="B7" s="8">
        <v>9374</v>
      </c>
      <c r="C7" s="9">
        <v>113903</v>
      </c>
      <c r="D7" s="9" t="s">
        <v>152</v>
      </c>
      <c r="E7" s="9">
        <v>0</v>
      </c>
    </row>
    <row r="8" spans="1:9" x14ac:dyDescent="0.2">
      <c r="A8" s="8" t="s">
        <v>153</v>
      </c>
      <c r="B8" s="8">
        <v>13315</v>
      </c>
      <c r="C8" s="8">
        <v>18416</v>
      </c>
      <c r="D8" s="9" t="s">
        <v>121</v>
      </c>
      <c r="E8" s="9">
        <v>0</v>
      </c>
    </row>
    <row r="9" spans="1:9" x14ac:dyDescent="0.2">
      <c r="A9" s="8" t="s">
        <v>154</v>
      </c>
      <c r="B9" s="9">
        <v>70337</v>
      </c>
      <c r="C9" s="8">
        <v>80781</v>
      </c>
      <c r="D9" s="9" t="s">
        <v>121</v>
      </c>
      <c r="E9" s="9">
        <v>0</v>
      </c>
      <c r="G9" s="32" t="s">
        <v>51</v>
      </c>
    </row>
    <row r="10" spans="1:9" x14ac:dyDescent="0.2">
      <c r="A10" s="8" t="s">
        <v>155</v>
      </c>
      <c r="B10" s="8">
        <v>-325056</v>
      </c>
      <c r="C10" s="9">
        <v>1362421</v>
      </c>
      <c r="D10" s="9" t="s">
        <v>121</v>
      </c>
      <c r="E10" s="9">
        <v>0</v>
      </c>
      <c r="G10" s="33" t="s">
        <v>67</v>
      </c>
    </row>
    <row r="11" spans="1:9" x14ac:dyDescent="0.2">
      <c r="A11" s="8" t="s">
        <v>156</v>
      </c>
      <c r="B11" s="8">
        <v>302</v>
      </c>
      <c r="C11" s="8">
        <v>382</v>
      </c>
      <c r="D11" s="9" t="s">
        <v>157</v>
      </c>
      <c r="E11" s="9">
        <v>0</v>
      </c>
      <c r="G11" s="33" t="s">
        <v>63</v>
      </c>
    </row>
    <row r="12" spans="1:9" x14ac:dyDescent="0.2">
      <c r="A12" s="8" t="s">
        <v>158</v>
      </c>
      <c r="B12" s="8">
        <v>54632</v>
      </c>
      <c r="C12" s="8">
        <v>91575</v>
      </c>
      <c r="D12" s="9" t="s">
        <v>157</v>
      </c>
      <c r="E12" s="9">
        <v>0</v>
      </c>
      <c r="G12" s="34" t="s">
        <v>61</v>
      </c>
    </row>
    <row r="13" spans="1:9" x14ac:dyDescent="0.2">
      <c r="A13" s="8" t="s">
        <v>159</v>
      </c>
      <c r="B13" s="8">
        <v>684</v>
      </c>
      <c r="C13" s="8">
        <v>724</v>
      </c>
      <c r="D13" s="9" t="s">
        <v>157</v>
      </c>
      <c r="E13" s="9">
        <v>0</v>
      </c>
    </row>
    <row r="14" spans="1:9" x14ac:dyDescent="0.2">
      <c r="A14" s="8" t="s">
        <v>160</v>
      </c>
      <c r="B14" s="8">
        <v>41197</v>
      </c>
      <c r="C14" s="8">
        <v>30607</v>
      </c>
      <c r="D14" s="9" t="s">
        <v>161</v>
      </c>
      <c r="E14" s="9">
        <v>0</v>
      </c>
      <c r="G14" s="36" t="s">
        <v>116</v>
      </c>
    </row>
    <row r="15" spans="1:9" x14ac:dyDescent="0.2">
      <c r="A15" s="8" t="s">
        <v>162</v>
      </c>
      <c r="B15" s="8">
        <v>4378</v>
      </c>
      <c r="C15" s="8">
        <v>5412</v>
      </c>
      <c r="D15" s="9" t="s">
        <v>121</v>
      </c>
      <c r="E15" s="9">
        <v>0</v>
      </c>
      <c r="G15" s="35" t="s">
        <v>10</v>
      </c>
    </row>
    <row r="16" spans="1:9" x14ac:dyDescent="0.2">
      <c r="A16" s="8" t="s">
        <v>105</v>
      </c>
      <c r="B16" s="8">
        <v>163602</v>
      </c>
      <c r="C16" s="9">
        <v>162183</v>
      </c>
      <c r="D16" s="9" t="s">
        <v>157</v>
      </c>
      <c r="E16" s="9">
        <v>0</v>
      </c>
      <c r="G16" s="41">
        <v>1000</v>
      </c>
      <c r="H16" s="44" t="s">
        <v>142</v>
      </c>
      <c r="I16" s="4" t="s">
        <v>60</v>
      </c>
    </row>
    <row r="17" spans="1:9" x14ac:dyDescent="0.2">
      <c r="A17" s="8" t="s">
        <v>163</v>
      </c>
      <c r="B17" s="8">
        <v>22414</v>
      </c>
      <c r="C17" s="9">
        <v>15700</v>
      </c>
      <c r="D17" s="9" t="s">
        <v>164</v>
      </c>
      <c r="E17" s="9">
        <v>0</v>
      </c>
      <c r="G17" s="37"/>
      <c r="H17" s="44"/>
      <c r="I17" s="21" t="s">
        <v>64</v>
      </c>
    </row>
    <row r="18" spans="1:9" x14ac:dyDescent="0.2">
      <c r="A18" s="8" t="s">
        <v>165</v>
      </c>
      <c r="B18" s="8">
        <v>146032</v>
      </c>
      <c r="C18" s="9">
        <v>147300</v>
      </c>
      <c r="D18" s="9" t="s">
        <v>166</v>
      </c>
      <c r="E18" s="9">
        <v>0</v>
      </c>
      <c r="G18" s="35" t="s">
        <v>11</v>
      </c>
      <c r="H18" s="44"/>
      <c r="I18" s="21" t="s">
        <v>65</v>
      </c>
    </row>
    <row r="19" spans="1:9" x14ac:dyDescent="0.2">
      <c r="A19" s="8" t="s">
        <v>165</v>
      </c>
      <c r="B19" s="8">
        <v>6378</v>
      </c>
      <c r="C19" s="9">
        <v>6393</v>
      </c>
      <c r="D19" s="9" t="s">
        <v>166</v>
      </c>
      <c r="E19" s="9">
        <v>0</v>
      </c>
      <c r="G19" s="38">
        <f>COUNTIF(E2:E5000, 1)/COUNTA(C2:C5000)</f>
        <v>4.5643153526970952E-2</v>
      </c>
      <c r="H19" s="44" t="s">
        <v>142</v>
      </c>
      <c r="I19" s="4" t="s">
        <v>62</v>
      </c>
    </row>
    <row r="20" spans="1:9" x14ac:dyDescent="0.2">
      <c r="A20" s="8" t="s">
        <v>165</v>
      </c>
      <c r="B20" s="8">
        <v>18927</v>
      </c>
      <c r="C20" s="9">
        <v>17101</v>
      </c>
      <c r="D20" s="9" t="s">
        <v>166</v>
      </c>
      <c r="E20" s="9">
        <v>0</v>
      </c>
      <c r="G20" s="37"/>
      <c r="H20" s="44"/>
      <c r="I20" s="21" t="s">
        <v>143</v>
      </c>
    </row>
    <row r="21" spans="1:9" x14ac:dyDescent="0.2">
      <c r="A21" s="8" t="s">
        <v>165</v>
      </c>
      <c r="B21" s="8">
        <v>55497</v>
      </c>
      <c r="C21" s="9">
        <v>56794</v>
      </c>
      <c r="D21" s="9" t="s">
        <v>166</v>
      </c>
      <c r="E21" s="9">
        <v>0</v>
      </c>
      <c r="G21" s="39" t="s">
        <v>119</v>
      </c>
      <c r="H21" s="44"/>
      <c r="I21" s="21" t="s">
        <v>66</v>
      </c>
    </row>
    <row r="22" spans="1:9" x14ac:dyDescent="0.2">
      <c r="A22" s="8" t="s">
        <v>165</v>
      </c>
      <c r="B22" s="8">
        <v>36072</v>
      </c>
      <c r="C22" s="9">
        <v>36475</v>
      </c>
      <c r="D22" s="9" t="s">
        <v>166</v>
      </c>
      <c r="E22" s="9">
        <v>0</v>
      </c>
      <c r="G22" s="40" t="s">
        <v>115</v>
      </c>
      <c r="H22" s="44"/>
    </row>
    <row r="23" spans="1:9" x14ac:dyDescent="0.2">
      <c r="A23" s="8" t="s">
        <v>165</v>
      </c>
      <c r="B23" s="8">
        <v>35536</v>
      </c>
      <c r="C23" s="9">
        <v>36930</v>
      </c>
      <c r="D23" s="9" t="s">
        <v>166</v>
      </c>
      <c r="E23" s="9">
        <v>0</v>
      </c>
      <c r="G23" s="43" t="s">
        <v>85</v>
      </c>
      <c r="H23" s="44" t="s">
        <v>142</v>
      </c>
      <c r="I23" s="4" t="s">
        <v>140</v>
      </c>
    </row>
    <row r="24" spans="1:9" x14ac:dyDescent="0.2">
      <c r="A24" s="8" t="s">
        <v>137</v>
      </c>
      <c r="B24" s="8">
        <v>810</v>
      </c>
      <c r="C24" s="9">
        <v>466</v>
      </c>
      <c r="D24" s="9" t="s">
        <v>167</v>
      </c>
      <c r="E24" s="9">
        <v>0</v>
      </c>
      <c r="G24" s="40" t="s">
        <v>139</v>
      </c>
      <c r="H24" s="44"/>
    </row>
    <row r="25" spans="1:9" x14ac:dyDescent="0.2">
      <c r="A25" s="8" t="s">
        <v>19</v>
      </c>
      <c r="B25" s="8">
        <v>10436</v>
      </c>
      <c r="C25" s="9">
        <v>10948</v>
      </c>
      <c r="D25" s="9" t="s">
        <v>168</v>
      </c>
      <c r="E25" s="9">
        <v>0</v>
      </c>
      <c r="G25" s="43" t="s">
        <v>86</v>
      </c>
      <c r="H25" s="44" t="s">
        <v>142</v>
      </c>
      <c r="I25" s="4" t="s">
        <v>120</v>
      </c>
    </row>
    <row r="26" spans="1:9" x14ac:dyDescent="0.2">
      <c r="A26" s="8" t="s">
        <v>169</v>
      </c>
      <c r="B26" s="8">
        <v>24</v>
      </c>
      <c r="C26" s="8">
        <v>87</v>
      </c>
      <c r="D26" s="9" t="s">
        <v>170</v>
      </c>
      <c r="E26" s="9">
        <v>0</v>
      </c>
      <c r="G26" s="40" t="s">
        <v>144</v>
      </c>
      <c r="H26" s="44"/>
      <c r="I26" t="s">
        <v>141</v>
      </c>
    </row>
    <row r="27" spans="1:9" x14ac:dyDescent="0.2">
      <c r="A27" s="8" t="s">
        <v>169</v>
      </c>
      <c r="B27" s="8">
        <v>12</v>
      </c>
      <c r="C27" s="8">
        <v>48</v>
      </c>
      <c r="D27" s="9" t="s">
        <v>170</v>
      </c>
      <c r="E27" s="9">
        <v>1</v>
      </c>
      <c r="G27" s="42" t="b">
        <v>1</v>
      </c>
      <c r="H27" s="44" t="s">
        <v>142</v>
      </c>
      <c r="I27" s="4" t="s">
        <v>145</v>
      </c>
    </row>
    <row r="28" spans="1:9" x14ac:dyDescent="0.2">
      <c r="A28" s="8" t="s">
        <v>169</v>
      </c>
      <c r="B28" s="8">
        <v>12</v>
      </c>
      <c r="C28" s="8">
        <v>39</v>
      </c>
      <c r="D28" s="9" t="s">
        <v>170</v>
      </c>
      <c r="E28" s="9">
        <v>1</v>
      </c>
    </row>
    <row r="29" spans="1:9" x14ac:dyDescent="0.2">
      <c r="A29" s="8" t="s">
        <v>171</v>
      </c>
      <c r="B29" s="8">
        <v>45246</v>
      </c>
      <c r="C29" s="8">
        <v>31440</v>
      </c>
      <c r="D29" s="9" t="s">
        <v>172</v>
      </c>
      <c r="E29" s="9">
        <v>0</v>
      </c>
    </row>
    <row r="30" spans="1:9" x14ac:dyDescent="0.2">
      <c r="A30" s="8" t="s">
        <v>173</v>
      </c>
      <c r="B30" s="8">
        <v>-88769</v>
      </c>
      <c r="C30" s="8">
        <v>-69998</v>
      </c>
      <c r="D30" s="9" t="s">
        <v>148</v>
      </c>
      <c r="E30" s="9">
        <v>0</v>
      </c>
    </row>
    <row r="31" spans="1:9" x14ac:dyDescent="0.2">
      <c r="A31" s="8" t="s">
        <v>173</v>
      </c>
      <c r="B31" s="8">
        <v>-36239</v>
      </c>
      <c r="C31" s="8">
        <v>-25421</v>
      </c>
      <c r="D31" s="9" t="s">
        <v>148</v>
      </c>
      <c r="E31" s="9">
        <v>0</v>
      </c>
    </row>
    <row r="32" spans="1:9" x14ac:dyDescent="0.2">
      <c r="A32" s="8" t="s">
        <v>173</v>
      </c>
      <c r="B32" s="8">
        <v>-52530</v>
      </c>
      <c r="C32" s="8">
        <v>-44577</v>
      </c>
      <c r="D32" s="9" t="s">
        <v>148</v>
      </c>
      <c r="E32" s="9">
        <v>0</v>
      </c>
    </row>
    <row r="33" spans="1:5" x14ac:dyDescent="0.2">
      <c r="A33" s="8" t="s">
        <v>12</v>
      </c>
      <c r="B33" s="8">
        <v>424357</v>
      </c>
      <c r="C33" s="8">
        <v>-1372141</v>
      </c>
      <c r="D33" s="9" t="s">
        <v>121</v>
      </c>
      <c r="E33" s="9">
        <v>0</v>
      </c>
    </row>
    <row r="34" spans="1:5" x14ac:dyDescent="0.2">
      <c r="A34" s="8" t="s">
        <v>42</v>
      </c>
      <c r="B34" s="8">
        <v>210345</v>
      </c>
      <c r="C34" s="8">
        <v>138610</v>
      </c>
      <c r="D34" s="9" t="s">
        <v>174</v>
      </c>
      <c r="E34" s="9">
        <v>0</v>
      </c>
    </row>
    <row r="35" spans="1:5" x14ac:dyDescent="0.2">
      <c r="A35" s="8" t="s">
        <v>175</v>
      </c>
      <c r="B35" s="8">
        <v>441729</v>
      </c>
      <c r="C35" s="9">
        <v>367039</v>
      </c>
      <c r="D35" s="9" t="s">
        <v>174</v>
      </c>
      <c r="E35" s="9">
        <v>0</v>
      </c>
    </row>
    <row r="36" spans="1:5" x14ac:dyDescent="0.2">
      <c r="A36" s="8" t="s">
        <v>176</v>
      </c>
      <c r="B36" s="8">
        <v>30900</v>
      </c>
      <c r="C36" s="8">
        <v>1702</v>
      </c>
      <c r="D36" s="9" t="s">
        <v>118</v>
      </c>
      <c r="E36" s="9">
        <v>0</v>
      </c>
    </row>
    <row r="37" spans="1:5" x14ac:dyDescent="0.2">
      <c r="A37" s="8" t="s">
        <v>177</v>
      </c>
      <c r="B37" s="8">
        <v>11524</v>
      </c>
      <c r="C37" s="8">
        <v>2625</v>
      </c>
      <c r="D37" s="9" t="s">
        <v>118</v>
      </c>
      <c r="E37" s="9">
        <v>0</v>
      </c>
    </row>
    <row r="38" spans="1:5" x14ac:dyDescent="0.2">
      <c r="A38" s="8" t="s">
        <v>178</v>
      </c>
      <c r="B38" s="8">
        <v>26438</v>
      </c>
      <c r="C38" s="8">
        <v>17973</v>
      </c>
      <c r="D38" s="9" t="s">
        <v>118</v>
      </c>
      <c r="E38" s="9">
        <v>0</v>
      </c>
    </row>
    <row r="39" spans="1:5" x14ac:dyDescent="0.2">
      <c r="A39" s="8" t="s">
        <v>122</v>
      </c>
      <c r="B39" s="8">
        <v>27835</v>
      </c>
      <c r="C39" s="8">
        <v>13540</v>
      </c>
      <c r="D39" s="9" t="s">
        <v>121</v>
      </c>
      <c r="E39" s="9">
        <v>0</v>
      </c>
    </row>
    <row r="40" spans="1:5" x14ac:dyDescent="0.2">
      <c r="A40" s="8" t="s">
        <v>179</v>
      </c>
      <c r="B40" s="8">
        <v>1387</v>
      </c>
      <c r="C40" s="8">
        <v>-4508</v>
      </c>
      <c r="D40" s="9" t="s">
        <v>118</v>
      </c>
      <c r="E40" s="9">
        <v>0</v>
      </c>
    </row>
    <row r="41" spans="1:5" x14ac:dyDescent="0.2">
      <c r="A41" s="8" t="s">
        <v>180</v>
      </c>
      <c r="B41" s="8">
        <v>17377</v>
      </c>
      <c r="C41" s="8">
        <v>15083</v>
      </c>
      <c r="D41" s="9" t="s">
        <v>181</v>
      </c>
      <c r="E41" s="9">
        <v>0</v>
      </c>
    </row>
    <row r="42" spans="1:5" x14ac:dyDescent="0.2">
      <c r="A42" s="8" t="s">
        <v>123</v>
      </c>
      <c r="B42" s="8">
        <v>20744</v>
      </c>
      <c r="C42" s="8">
        <v>18478</v>
      </c>
      <c r="D42" s="9" t="s">
        <v>182</v>
      </c>
      <c r="E42" s="9">
        <v>0</v>
      </c>
    </row>
    <row r="43" spans="1:5" x14ac:dyDescent="0.2">
      <c r="A43" s="8" t="s">
        <v>117</v>
      </c>
      <c r="B43" s="8">
        <v>76426</v>
      </c>
      <c r="C43" s="8">
        <v>60866</v>
      </c>
      <c r="D43" s="9" t="s">
        <v>121</v>
      </c>
      <c r="E43" s="9">
        <v>0</v>
      </c>
    </row>
    <row r="44" spans="1:5" x14ac:dyDescent="0.2">
      <c r="A44" s="8" t="s">
        <v>33</v>
      </c>
      <c r="B44" s="8">
        <v>3.68</v>
      </c>
      <c r="C44" s="8">
        <v>2.5299999999999998</v>
      </c>
      <c r="D44" s="9" t="s">
        <v>183</v>
      </c>
      <c r="E44" s="9">
        <v>0</v>
      </c>
    </row>
    <row r="45" spans="1:5" x14ac:dyDescent="0.2">
      <c r="A45" s="8" t="s">
        <v>34</v>
      </c>
      <c r="B45" s="8">
        <v>3.63</v>
      </c>
      <c r="C45" s="9">
        <v>2.4900000000000002</v>
      </c>
      <c r="D45" s="9" t="s">
        <v>183</v>
      </c>
      <c r="E45" s="9">
        <v>0</v>
      </c>
    </row>
    <row r="46" spans="1:5" x14ac:dyDescent="0.2">
      <c r="A46" s="8" t="s">
        <v>32</v>
      </c>
      <c r="B46" s="8">
        <v>25.4</v>
      </c>
      <c r="C46" s="9">
        <v>11.2</v>
      </c>
      <c r="D46" s="9" t="s">
        <v>118</v>
      </c>
      <c r="E46" s="9">
        <v>0</v>
      </c>
    </row>
    <row r="47" spans="1:5" x14ac:dyDescent="0.2">
      <c r="A47" s="8" t="s">
        <v>184</v>
      </c>
      <c r="B47" s="8">
        <v>21</v>
      </c>
      <c r="C47" s="9">
        <v>21</v>
      </c>
      <c r="D47" s="9" t="s">
        <v>118</v>
      </c>
      <c r="E47" s="9">
        <v>0</v>
      </c>
    </row>
    <row r="48" spans="1:5" x14ac:dyDescent="0.2">
      <c r="A48" s="8" t="s">
        <v>185</v>
      </c>
      <c r="B48" s="8">
        <v>-0.5</v>
      </c>
      <c r="C48" s="9">
        <v>-2.8</v>
      </c>
      <c r="D48" s="9" t="s">
        <v>118</v>
      </c>
      <c r="E48" s="9">
        <v>0</v>
      </c>
    </row>
    <row r="49" spans="1:5" x14ac:dyDescent="0.2">
      <c r="A49" s="8" t="s">
        <v>186</v>
      </c>
      <c r="B49" s="8">
        <v>0.7</v>
      </c>
      <c r="C49" s="9">
        <v>1</v>
      </c>
      <c r="D49" s="9" t="s">
        <v>118</v>
      </c>
      <c r="E49" s="9">
        <v>0</v>
      </c>
    </row>
    <row r="50" spans="1:5" x14ac:dyDescent="0.2">
      <c r="A50" s="8" t="s">
        <v>187</v>
      </c>
      <c r="B50" s="8">
        <v>0.1</v>
      </c>
      <c r="C50" s="9">
        <v>-0.1</v>
      </c>
      <c r="D50" s="9" t="s">
        <v>118</v>
      </c>
      <c r="E50" s="9">
        <v>0</v>
      </c>
    </row>
    <row r="51" spans="1:5" x14ac:dyDescent="0.2">
      <c r="A51" s="8" t="s">
        <v>188</v>
      </c>
      <c r="B51" s="8">
        <v>4.3</v>
      </c>
      <c r="C51" s="8">
        <v>1.3</v>
      </c>
      <c r="D51" s="9" t="s">
        <v>118</v>
      </c>
      <c r="E51" s="9">
        <v>0</v>
      </c>
    </row>
    <row r="52" spans="1:5" x14ac:dyDescent="0.2">
      <c r="A52" s="8" t="s">
        <v>189</v>
      </c>
      <c r="B52" s="8">
        <v>14376</v>
      </c>
      <c r="C52" s="9">
        <v>11901</v>
      </c>
      <c r="D52" s="9" t="s">
        <v>152</v>
      </c>
      <c r="E52" s="9">
        <v>0</v>
      </c>
    </row>
    <row r="53" spans="1:5" x14ac:dyDescent="0.2">
      <c r="A53" s="8" t="s">
        <v>38</v>
      </c>
      <c r="B53" s="8">
        <v>187406</v>
      </c>
      <c r="C53" s="8">
        <v>191823</v>
      </c>
      <c r="D53" s="9" t="s">
        <v>174</v>
      </c>
      <c r="E53" s="9">
        <v>0</v>
      </c>
    </row>
    <row r="54" spans="1:5" x14ac:dyDescent="0.2">
      <c r="A54" s="8" t="s">
        <v>190</v>
      </c>
      <c r="B54" s="8">
        <v>960786</v>
      </c>
      <c r="C54" s="8">
        <v>807559</v>
      </c>
      <c r="D54" s="9" t="s">
        <v>174</v>
      </c>
      <c r="E54" s="9">
        <v>0</v>
      </c>
    </row>
    <row r="55" spans="1:5" x14ac:dyDescent="0.2">
      <c r="A55" s="8" t="s">
        <v>40</v>
      </c>
      <c r="B55" s="8">
        <v>277015</v>
      </c>
      <c r="C55" s="9">
        <v>158614</v>
      </c>
      <c r="D55" s="9" t="s">
        <v>191</v>
      </c>
      <c r="E55" s="9">
        <v>0</v>
      </c>
    </row>
    <row r="56" spans="1:5" x14ac:dyDescent="0.2">
      <c r="A56" s="8" t="s">
        <v>44</v>
      </c>
      <c r="B56" s="8">
        <v>70249</v>
      </c>
      <c r="C56" s="8">
        <v>17792</v>
      </c>
      <c r="D56" s="9" t="s">
        <v>191</v>
      </c>
      <c r="E56" s="9">
        <v>0</v>
      </c>
    </row>
    <row r="57" spans="1:5" x14ac:dyDescent="0.2">
      <c r="A57" s="8" t="s">
        <v>87</v>
      </c>
      <c r="B57" s="8">
        <v>47619</v>
      </c>
      <c r="C57" s="8">
        <v>1359</v>
      </c>
      <c r="D57" s="9" t="s">
        <v>121</v>
      </c>
      <c r="E57" s="9">
        <v>0</v>
      </c>
    </row>
    <row r="58" spans="1:5" x14ac:dyDescent="0.2">
      <c r="A58" s="8" t="s">
        <v>192</v>
      </c>
      <c r="B58" s="8">
        <v>2423</v>
      </c>
      <c r="C58" s="8">
        <v>-1554</v>
      </c>
      <c r="D58" s="9" t="s">
        <v>121</v>
      </c>
      <c r="E58" s="9">
        <v>0</v>
      </c>
    </row>
    <row r="59" spans="1:5" x14ac:dyDescent="0.2">
      <c r="A59" s="8" t="s">
        <v>88</v>
      </c>
      <c r="B59" s="8">
        <v>8186</v>
      </c>
      <c r="C59" s="8">
        <v>9407</v>
      </c>
      <c r="D59" s="9" t="s">
        <v>121</v>
      </c>
      <c r="E59" s="9">
        <v>0</v>
      </c>
    </row>
    <row r="60" spans="1:5" x14ac:dyDescent="0.2">
      <c r="A60" s="8" t="s">
        <v>89</v>
      </c>
      <c r="B60" s="8">
        <v>43463</v>
      </c>
      <c r="C60" s="8">
        <v>40991</v>
      </c>
      <c r="D60" s="9" t="s">
        <v>161</v>
      </c>
      <c r="E60" s="9">
        <v>0</v>
      </c>
    </row>
    <row r="61" spans="1:5" x14ac:dyDescent="0.2">
      <c r="A61" s="8" t="s">
        <v>193</v>
      </c>
      <c r="B61" s="8">
        <v>5829</v>
      </c>
      <c r="C61" s="8">
        <v>3994</v>
      </c>
      <c r="D61" s="9" t="s">
        <v>121</v>
      </c>
      <c r="E61" s="9">
        <v>0</v>
      </c>
    </row>
    <row r="62" spans="1:5" x14ac:dyDescent="0.2">
      <c r="A62" s="8" t="s">
        <v>124</v>
      </c>
      <c r="B62" s="8">
        <v>762</v>
      </c>
      <c r="C62" s="8">
        <v>890</v>
      </c>
      <c r="D62" s="9" t="s">
        <v>194</v>
      </c>
      <c r="E62" s="9">
        <v>0</v>
      </c>
    </row>
    <row r="63" spans="1:5" x14ac:dyDescent="0.2">
      <c r="A63" s="8" t="s">
        <v>13</v>
      </c>
      <c r="B63" s="8">
        <v>494</v>
      </c>
      <c r="C63" s="8">
        <v>404</v>
      </c>
      <c r="D63" s="9" t="s">
        <v>121</v>
      </c>
      <c r="E63" s="9">
        <v>0</v>
      </c>
    </row>
    <row r="64" spans="1:5" x14ac:dyDescent="0.2">
      <c r="A64" s="8" t="s">
        <v>108</v>
      </c>
      <c r="B64" s="8">
        <v>13772</v>
      </c>
      <c r="C64" s="9">
        <v>14527</v>
      </c>
      <c r="D64" s="9" t="s">
        <v>195</v>
      </c>
      <c r="E64" s="9">
        <v>0</v>
      </c>
    </row>
    <row r="65" spans="1:5" x14ac:dyDescent="0.2">
      <c r="A65" s="8" t="s">
        <v>14</v>
      </c>
      <c r="B65" s="8">
        <v>141578</v>
      </c>
      <c r="C65" s="8">
        <v>-1434702</v>
      </c>
      <c r="D65" s="9" t="s">
        <v>121</v>
      </c>
      <c r="E65" s="9">
        <v>0</v>
      </c>
    </row>
    <row r="66" spans="1:5" x14ac:dyDescent="0.2">
      <c r="A66" s="8" t="s">
        <v>15</v>
      </c>
      <c r="B66" s="8">
        <v>-101891</v>
      </c>
      <c r="C66" s="8">
        <v>-220162</v>
      </c>
      <c r="D66" s="9" t="s">
        <v>121</v>
      </c>
      <c r="E66" s="9">
        <v>0</v>
      </c>
    </row>
    <row r="67" spans="1:5" x14ac:dyDescent="0.2">
      <c r="A67" s="8" t="s">
        <v>16</v>
      </c>
      <c r="B67" s="8">
        <v>384670</v>
      </c>
      <c r="C67" s="8">
        <v>282723</v>
      </c>
      <c r="D67" s="9" t="s">
        <v>121</v>
      </c>
      <c r="E67" s="9">
        <v>0</v>
      </c>
    </row>
    <row r="68" spans="1:5" x14ac:dyDescent="0.2">
      <c r="A68" s="8" t="s">
        <v>125</v>
      </c>
      <c r="B68" s="8">
        <v>206766</v>
      </c>
      <c r="C68" s="8">
        <v>140822</v>
      </c>
      <c r="D68" s="9" t="s">
        <v>196</v>
      </c>
      <c r="E68" s="9">
        <v>0</v>
      </c>
    </row>
    <row r="69" spans="1:5" x14ac:dyDescent="0.2">
      <c r="A69" s="8" t="s">
        <v>197</v>
      </c>
      <c r="B69" s="8">
        <v>378</v>
      </c>
      <c r="C69" s="8">
        <v>117</v>
      </c>
      <c r="D69" s="9" t="s">
        <v>121</v>
      </c>
      <c r="E69" s="9">
        <v>0</v>
      </c>
    </row>
    <row r="70" spans="1:5" x14ac:dyDescent="0.2">
      <c r="A70" s="8" t="s">
        <v>104</v>
      </c>
      <c r="B70" s="8">
        <v>16922</v>
      </c>
      <c r="C70" s="8">
        <v>3588</v>
      </c>
      <c r="D70" s="9" t="s">
        <v>174</v>
      </c>
      <c r="E70" s="9">
        <v>0</v>
      </c>
    </row>
    <row r="71" spans="1:5" x14ac:dyDescent="0.2">
      <c r="A71" s="8" t="s">
        <v>198</v>
      </c>
      <c r="B71" s="8">
        <v>700693</v>
      </c>
      <c r="C71" s="8">
        <v>652533</v>
      </c>
      <c r="D71" s="9" t="s">
        <v>174</v>
      </c>
      <c r="E71" s="9">
        <v>0</v>
      </c>
    </row>
    <row r="72" spans="1:5" x14ac:dyDescent="0.2">
      <c r="A72" s="8" t="s">
        <v>39</v>
      </c>
      <c r="B72" s="8">
        <v>260093</v>
      </c>
      <c r="C72" s="8">
        <v>155026</v>
      </c>
      <c r="D72" s="9" t="s">
        <v>174</v>
      </c>
      <c r="E72" s="9">
        <v>0</v>
      </c>
    </row>
    <row r="73" spans="1:5" x14ac:dyDescent="0.2">
      <c r="A73" s="8" t="s">
        <v>109</v>
      </c>
      <c r="B73" s="8">
        <v>8590</v>
      </c>
      <c r="C73" s="8">
        <v>8868</v>
      </c>
      <c r="D73" s="9" t="s">
        <v>195</v>
      </c>
      <c r="E73" s="9">
        <v>0</v>
      </c>
    </row>
    <row r="74" spans="1:5" x14ac:dyDescent="0.2">
      <c r="A74" s="8" t="s">
        <v>199</v>
      </c>
      <c r="B74" s="8">
        <v>9855</v>
      </c>
      <c r="C74" s="8">
        <v>10958</v>
      </c>
      <c r="D74" s="9" t="s">
        <v>200</v>
      </c>
      <c r="E74" s="9">
        <v>0</v>
      </c>
    </row>
    <row r="75" spans="1:5" x14ac:dyDescent="0.2">
      <c r="A75" s="8" t="s">
        <v>43</v>
      </c>
      <c r="B75" s="8">
        <v>3579</v>
      </c>
      <c r="C75" s="8">
        <v>-2212</v>
      </c>
      <c r="D75" s="9" t="s">
        <v>174</v>
      </c>
      <c r="E75" s="9">
        <v>0</v>
      </c>
    </row>
    <row r="76" spans="1:5" x14ac:dyDescent="0.2">
      <c r="A76" s="8" t="s">
        <v>17</v>
      </c>
      <c r="B76" s="8">
        <v>962</v>
      </c>
      <c r="C76" s="8">
        <v>-1682</v>
      </c>
      <c r="D76" s="9" t="s">
        <v>121</v>
      </c>
      <c r="E76" s="9">
        <v>0</v>
      </c>
    </row>
    <row r="77" spans="1:5" x14ac:dyDescent="0.2">
      <c r="A77" s="8" t="s">
        <v>18</v>
      </c>
      <c r="B77" s="8">
        <v>1079</v>
      </c>
      <c r="C77" s="8">
        <v>1104</v>
      </c>
      <c r="D77" s="9" t="s">
        <v>121</v>
      </c>
      <c r="E77" s="9">
        <v>0</v>
      </c>
    </row>
    <row r="78" spans="1:5" x14ac:dyDescent="0.2">
      <c r="A78" s="8" t="s">
        <v>201</v>
      </c>
      <c r="B78" s="8">
        <v>52549</v>
      </c>
      <c r="C78" s="8">
        <v>88312</v>
      </c>
      <c r="D78" s="9" t="s">
        <v>121</v>
      </c>
      <c r="E78" s="9">
        <v>0</v>
      </c>
    </row>
    <row r="79" spans="1:5" x14ac:dyDescent="0.2">
      <c r="A79" s="8" t="s">
        <v>202</v>
      </c>
      <c r="B79" s="8">
        <v>304465</v>
      </c>
      <c r="C79" s="9">
        <v>598895</v>
      </c>
      <c r="D79" s="9" t="s">
        <v>121</v>
      </c>
      <c r="E79" s="9">
        <v>0</v>
      </c>
    </row>
    <row r="80" spans="1:5" x14ac:dyDescent="0.2">
      <c r="A80" s="8" t="s">
        <v>90</v>
      </c>
      <c r="B80" s="8">
        <v>18028</v>
      </c>
      <c r="C80" s="9">
        <v>21910</v>
      </c>
      <c r="D80" s="9" t="s">
        <v>121</v>
      </c>
      <c r="E80" s="9">
        <v>0</v>
      </c>
    </row>
    <row r="81" spans="1:5" x14ac:dyDescent="0.2">
      <c r="A81" s="8" t="s">
        <v>203</v>
      </c>
      <c r="B81" s="8">
        <v>60726</v>
      </c>
      <c r="C81" s="8">
        <v>45004</v>
      </c>
      <c r="D81" s="9" t="s">
        <v>121</v>
      </c>
      <c r="E81" s="9">
        <v>0</v>
      </c>
    </row>
    <row r="82" spans="1:5" x14ac:dyDescent="0.2">
      <c r="A82" s="8" t="s">
        <v>204</v>
      </c>
      <c r="B82" s="8">
        <v>19143</v>
      </c>
      <c r="C82" s="9">
        <v>16916</v>
      </c>
      <c r="D82" s="9" t="s">
        <v>121</v>
      </c>
      <c r="E82" s="9">
        <v>0</v>
      </c>
    </row>
    <row r="83" spans="1:5" x14ac:dyDescent="0.2">
      <c r="A83" s="8" t="s">
        <v>205</v>
      </c>
      <c r="B83" s="8">
        <v>-72</v>
      </c>
      <c r="C83" s="8">
        <v>-885</v>
      </c>
      <c r="D83" s="9" t="s">
        <v>121</v>
      </c>
      <c r="E83" s="9">
        <v>0</v>
      </c>
    </row>
    <row r="84" spans="1:5" x14ac:dyDescent="0.2">
      <c r="A84" s="8" t="s">
        <v>206</v>
      </c>
      <c r="B84" s="8">
        <v>294438</v>
      </c>
      <c r="C84" s="8">
        <v>446751</v>
      </c>
      <c r="D84" s="9" t="s">
        <v>121</v>
      </c>
      <c r="E84" s="9">
        <v>0</v>
      </c>
    </row>
    <row r="85" spans="1:5" x14ac:dyDescent="0.2">
      <c r="A85" s="8" t="s">
        <v>138</v>
      </c>
      <c r="B85" s="8">
        <v>1565</v>
      </c>
      <c r="C85" s="8">
        <v>1245</v>
      </c>
      <c r="D85" s="9" t="s">
        <v>207</v>
      </c>
      <c r="E85" s="9">
        <v>0</v>
      </c>
    </row>
    <row r="86" spans="1:5" x14ac:dyDescent="0.2">
      <c r="A86" s="8" t="s">
        <v>102</v>
      </c>
      <c r="B86" s="8">
        <v>178333</v>
      </c>
      <c r="C86" s="8">
        <v>163994</v>
      </c>
      <c r="D86" s="9" t="s">
        <v>174</v>
      </c>
      <c r="E86" s="9">
        <v>0</v>
      </c>
    </row>
    <row r="87" spans="1:5" x14ac:dyDescent="0.2">
      <c r="A87" s="8" t="s">
        <v>37</v>
      </c>
      <c r="B87" s="8">
        <v>1281680</v>
      </c>
      <c r="C87" s="8">
        <v>1098036</v>
      </c>
      <c r="D87" s="9" t="s">
        <v>208</v>
      </c>
      <c r="E87" s="9">
        <v>0</v>
      </c>
    </row>
    <row r="88" spans="1:5" x14ac:dyDescent="0.2">
      <c r="A88" s="8" t="s">
        <v>37</v>
      </c>
      <c r="B88" s="8">
        <v>54530</v>
      </c>
      <c r="C88" s="9">
        <v>41228</v>
      </c>
      <c r="D88" s="9" t="s">
        <v>208</v>
      </c>
      <c r="E88" s="9">
        <v>0</v>
      </c>
    </row>
    <row r="89" spans="1:5" x14ac:dyDescent="0.2">
      <c r="A89" s="8" t="s">
        <v>37</v>
      </c>
      <c r="B89" s="8">
        <v>1227150</v>
      </c>
      <c r="C89" s="8">
        <v>1056808</v>
      </c>
      <c r="D89" s="9" t="s">
        <v>208</v>
      </c>
      <c r="E89" s="9">
        <v>0</v>
      </c>
    </row>
    <row r="90" spans="1:5" x14ac:dyDescent="0.2">
      <c r="A90" s="8" t="s">
        <v>209</v>
      </c>
      <c r="B90" s="8">
        <v>120835</v>
      </c>
      <c r="C90" s="8">
        <v>76562</v>
      </c>
      <c r="D90" s="9" t="s">
        <v>174</v>
      </c>
      <c r="E90" s="9">
        <v>0</v>
      </c>
    </row>
    <row r="91" spans="1:5" x14ac:dyDescent="0.2">
      <c r="A91" s="8" t="s">
        <v>210</v>
      </c>
      <c r="B91" s="8">
        <v>1402515</v>
      </c>
      <c r="C91" s="8">
        <v>1174598</v>
      </c>
      <c r="D91" s="9" t="s">
        <v>174</v>
      </c>
      <c r="E91" s="9">
        <v>0</v>
      </c>
    </row>
    <row r="92" spans="1:5" x14ac:dyDescent="0.2">
      <c r="A92" s="8" t="s">
        <v>112</v>
      </c>
      <c r="B92" s="8">
        <v>1059</v>
      </c>
      <c r="C92" s="8">
        <v>1264</v>
      </c>
      <c r="D92" s="9" t="s">
        <v>200</v>
      </c>
      <c r="E92" s="9">
        <v>0</v>
      </c>
    </row>
    <row r="93" spans="1:5" x14ac:dyDescent="0.2">
      <c r="A93" s="8" t="s">
        <v>103</v>
      </c>
      <c r="B93" s="8">
        <v>334954</v>
      </c>
      <c r="C93" s="8">
        <v>296716</v>
      </c>
      <c r="D93" s="9" t="s">
        <v>174</v>
      </c>
      <c r="E93" s="9">
        <v>0</v>
      </c>
    </row>
    <row r="94" spans="1:5" x14ac:dyDescent="0.2">
      <c r="A94" s="8" t="s">
        <v>211</v>
      </c>
      <c r="B94" s="8">
        <v>0</v>
      </c>
      <c r="C94" s="8">
        <v>0</v>
      </c>
      <c r="D94" s="9" t="s">
        <v>212</v>
      </c>
      <c r="E94" s="9">
        <v>0</v>
      </c>
    </row>
    <row r="95" spans="1:5" x14ac:dyDescent="0.2">
      <c r="A95" s="8" t="s">
        <v>213</v>
      </c>
      <c r="B95" s="8">
        <v>43.3</v>
      </c>
      <c r="C95" s="9">
        <v>57.5</v>
      </c>
      <c r="D95" s="9" t="s">
        <v>212</v>
      </c>
      <c r="E95" s="9">
        <v>0</v>
      </c>
    </row>
    <row r="96" spans="1:5" x14ac:dyDescent="0.2">
      <c r="A96" s="8" t="s">
        <v>213</v>
      </c>
      <c r="B96" s="8">
        <v>32.9</v>
      </c>
      <c r="C96" s="8">
        <v>41.1</v>
      </c>
      <c r="D96" s="9" t="s">
        <v>212</v>
      </c>
      <c r="E96" s="9">
        <v>0</v>
      </c>
    </row>
    <row r="97" spans="1:5" x14ac:dyDescent="0.2">
      <c r="A97" s="8" t="s">
        <v>214</v>
      </c>
      <c r="B97" s="8">
        <v>5.41</v>
      </c>
      <c r="C97" s="8">
        <v>5.26</v>
      </c>
      <c r="D97" s="9" t="s">
        <v>212</v>
      </c>
      <c r="E97" s="9">
        <v>0</v>
      </c>
    </row>
    <row r="98" spans="1:5" x14ac:dyDescent="0.2">
      <c r="A98" s="8" t="s">
        <v>214</v>
      </c>
      <c r="B98" s="8">
        <v>5.26</v>
      </c>
      <c r="C98" s="8">
        <v>1.54</v>
      </c>
      <c r="D98" s="9" t="s">
        <v>212</v>
      </c>
      <c r="E98" s="9">
        <v>0</v>
      </c>
    </row>
    <row r="99" spans="1:5" x14ac:dyDescent="0.2">
      <c r="A99" s="8" t="s">
        <v>215</v>
      </c>
      <c r="B99" s="8">
        <v>18438</v>
      </c>
      <c r="C99" s="8">
        <v>52985</v>
      </c>
      <c r="D99" s="9" t="s">
        <v>216</v>
      </c>
      <c r="E99" s="9">
        <v>0</v>
      </c>
    </row>
    <row r="100" spans="1:5" x14ac:dyDescent="0.2">
      <c r="A100" s="8" t="s">
        <v>217</v>
      </c>
      <c r="B100" s="8">
        <v>0.5</v>
      </c>
      <c r="C100" s="8">
        <v>0.5</v>
      </c>
      <c r="D100" s="9" t="s">
        <v>212</v>
      </c>
      <c r="E100" s="9">
        <v>1</v>
      </c>
    </row>
    <row r="101" spans="1:5" x14ac:dyDescent="0.2">
      <c r="A101" s="8" t="s">
        <v>218</v>
      </c>
      <c r="B101" s="8">
        <v>0.5</v>
      </c>
      <c r="C101" s="8">
        <v>1.2</v>
      </c>
      <c r="D101" s="9" t="s">
        <v>216</v>
      </c>
      <c r="E101" s="9">
        <v>1</v>
      </c>
    </row>
    <row r="102" spans="1:5" x14ac:dyDescent="0.2">
      <c r="A102" s="8" t="s">
        <v>110</v>
      </c>
      <c r="B102" s="8">
        <v>568</v>
      </c>
      <c r="C102" s="8">
        <v>301</v>
      </c>
      <c r="D102" s="9" t="s">
        <v>195</v>
      </c>
      <c r="E102" s="9">
        <v>0</v>
      </c>
    </row>
    <row r="103" spans="1:5" x14ac:dyDescent="0.2">
      <c r="A103" s="8" t="s">
        <v>219</v>
      </c>
      <c r="B103" s="8">
        <v>149</v>
      </c>
      <c r="C103" s="8">
        <v>120</v>
      </c>
      <c r="D103" s="9" t="s">
        <v>220</v>
      </c>
      <c r="E103" s="9">
        <v>0</v>
      </c>
    </row>
    <row r="104" spans="1:5" x14ac:dyDescent="0.2">
      <c r="A104" s="8" t="s">
        <v>221</v>
      </c>
      <c r="B104" s="8">
        <v>121</v>
      </c>
      <c r="C104" s="8">
        <v>260</v>
      </c>
      <c r="D104" s="9" t="s">
        <v>222</v>
      </c>
      <c r="E104" s="9">
        <v>0</v>
      </c>
    </row>
    <row r="105" spans="1:5" x14ac:dyDescent="0.2">
      <c r="A105" s="8" t="s">
        <v>223</v>
      </c>
      <c r="B105" s="8">
        <v>2083</v>
      </c>
      <c r="C105" s="8">
        <v>3265</v>
      </c>
      <c r="D105" s="9" t="s">
        <v>157</v>
      </c>
      <c r="E105" s="9">
        <v>0</v>
      </c>
    </row>
    <row r="106" spans="1:5" x14ac:dyDescent="0.2">
      <c r="A106" s="8" t="s">
        <v>224</v>
      </c>
      <c r="B106" s="8">
        <v>769</v>
      </c>
      <c r="C106" s="8">
        <v>570</v>
      </c>
      <c r="D106" s="9" t="s">
        <v>225</v>
      </c>
      <c r="E106" s="9">
        <v>0</v>
      </c>
    </row>
    <row r="107" spans="1:5" x14ac:dyDescent="0.2">
      <c r="A107" s="8" t="s">
        <v>111</v>
      </c>
      <c r="B107" s="8">
        <v>4614</v>
      </c>
      <c r="C107" s="8">
        <v>5358</v>
      </c>
      <c r="D107" s="9" t="s">
        <v>195</v>
      </c>
      <c r="E107" s="9">
        <v>0</v>
      </c>
    </row>
    <row r="108" spans="1:5" x14ac:dyDescent="0.2">
      <c r="A108" s="8" t="s">
        <v>35</v>
      </c>
      <c r="B108" s="8">
        <v>56976</v>
      </c>
      <c r="C108" s="8">
        <v>56596</v>
      </c>
      <c r="D108" s="9" t="s">
        <v>183</v>
      </c>
      <c r="E108" s="9">
        <v>0</v>
      </c>
    </row>
    <row r="109" spans="1:5" x14ac:dyDescent="0.2">
      <c r="A109" s="8" t="s">
        <v>36</v>
      </c>
      <c r="B109" s="8">
        <v>56214</v>
      </c>
      <c r="C109" s="8">
        <v>55706</v>
      </c>
      <c r="D109" s="9" t="s">
        <v>183</v>
      </c>
      <c r="E109" s="9">
        <v>0</v>
      </c>
    </row>
    <row r="110" spans="1:5" x14ac:dyDescent="0.2">
      <c r="A110" s="8" t="s">
        <v>226</v>
      </c>
      <c r="B110" s="8">
        <v>9453</v>
      </c>
      <c r="C110" s="8">
        <v>6886</v>
      </c>
      <c r="D110" s="9" t="s">
        <v>167</v>
      </c>
      <c r="E110" s="9">
        <v>0</v>
      </c>
    </row>
    <row r="111" spans="1:5" x14ac:dyDescent="0.2">
      <c r="A111" s="8" t="s">
        <v>227</v>
      </c>
      <c r="B111" s="8">
        <v>572432</v>
      </c>
      <c r="C111" s="8">
        <v>427022</v>
      </c>
      <c r="D111" s="9" t="s">
        <v>228</v>
      </c>
      <c r="E111" s="9">
        <v>0</v>
      </c>
    </row>
    <row r="112" spans="1:5" x14ac:dyDescent="0.2">
      <c r="A112" s="8" t="s">
        <v>229</v>
      </c>
      <c r="B112" s="8">
        <v>401811</v>
      </c>
      <c r="C112" s="8">
        <v>288767</v>
      </c>
      <c r="D112" s="9" t="s">
        <v>230</v>
      </c>
      <c r="E112" s="9">
        <v>0</v>
      </c>
    </row>
    <row r="113" spans="1:5" x14ac:dyDescent="0.2">
      <c r="A113" s="8" t="s">
        <v>231</v>
      </c>
      <c r="B113" s="8">
        <v>2845669</v>
      </c>
      <c r="C113" s="8">
        <v>2421312</v>
      </c>
      <c r="D113" s="9" t="s">
        <v>121</v>
      </c>
      <c r="E113" s="9">
        <v>0</v>
      </c>
    </row>
    <row r="114" spans="1:5" x14ac:dyDescent="0.2">
      <c r="A114" s="8" t="s">
        <v>232</v>
      </c>
      <c r="B114" s="8">
        <v>2950411</v>
      </c>
      <c r="C114" s="8">
        <v>2625355</v>
      </c>
      <c r="D114" s="9" t="s">
        <v>228</v>
      </c>
      <c r="E114" s="9">
        <v>0</v>
      </c>
    </row>
    <row r="115" spans="1:5" x14ac:dyDescent="0.2">
      <c r="A115" s="8" t="s">
        <v>233</v>
      </c>
      <c r="B115" s="8">
        <v>14141</v>
      </c>
      <c r="C115" s="8">
        <v>18238</v>
      </c>
      <c r="D115" s="9" t="s">
        <v>118</v>
      </c>
      <c r="E115" s="9">
        <v>0</v>
      </c>
    </row>
    <row r="116" spans="1:5" x14ac:dyDescent="0.2">
      <c r="A116" s="8" t="s">
        <v>234</v>
      </c>
      <c r="B116" s="8">
        <v>29718</v>
      </c>
      <c r="C116" s="8">
        <v>12523</v>
      </c>
      <c r="D116" s="9" t="s">
        <v>118</v>
      </c>
      <c r="E116" s="9">
        <v>0</v>
      </c>
    </row>
    <row r="117" spans="1:5" x14ac:dyDescent="0.2">
      <c r="A117" s="8" t="s">
        <v>235</v>
      </c>
      <c r="B117" s="8">
        <v>116004</v>
      </c>
      <c r="C117" s="8">
        <v>96598</v>
      </c>
      <c r="D117" s="9" t="s">
        <v>118</v>
      </c>
      <c r="E117" s="9">
        <v>0</v>
      </c>
    </row>
    <row r="118" spans="1:5" x14ac:dyDescent="0.2">
      <c r="A118" s="8" t="s">
        <v>236</v>
      </c>
      <c r="B118" s="8">
        <v>8775</v>
      </c>
      <c r="C118" s="8">
        <v>11456</v>
      </c>
      <c r="D118" s="9" t="s">
        <v>118</v>
      </c>
      <c r="E118" s="9">
        <v>0</v>
      </c>
    </row>
    <row r="119" spans="1:5" x14ac:dyDescent="0.2">
      <c r="A119" s="8" t="s">
        <v>237</v>
      </c>
      <c r="B119" s="8">
        <v>2443858</v>
      </c>
      <c r="C119" s="8">
        <v>2132545</v>
      </c>
      <c r="D119" s="9" t="s">
        <v>238</v>
      </c>
      <c r="E119" s="9">
        <v>0</v>
      </c>
    </row>
    <row r="120" spans="1:5" x14ac:dyDescent="0.2">
      <c r="A120" s="8" t="s">
        <v>239</v>
      </c>
      <c r="B120" s="9">
        <v>1361</v>
      </c>
      <c r="C120" s="8">
        <v>45</v>
      </c>
      <c r="D120" s="9" t="s">
        <v>230</v>
      </c>
      <c r="E120" s="9">
        <v>0</v>
      </c>
    </row>
    <row r="121" spans="1:5" x14ac:dyDescent="0.2">
      <c r="A121" s="8" t="s">
        <v>240</v>
      </c>
      <c r="B121" s="8">
        <v>2304</v>
      </c>
      <c r="C121" s="8">
        <v>5916</v>
      </c>
      <c r="D121" s="9" t="s">
        <v>230</v>
      </c>
      <c r="E121" s="9">
        <v>0</v>
      </c>
    </row>
    <row r="122" spans="1:5" x14ac:dyDescent="0.2">
      <c r="A122" s="8" t="s">
        <v>241</v>
      </c>
      <c r="B122" s="8">
        <v>3354814</v>
      </c>
      <c r="C122" s="8">
        <v>2916053</v>
      </c>
      <c r="D122" s="9" t="s">
        <v>230</v>
      </c>
      <c r="E122" s="9">
        <v>0</v>
      </c>
    </row>
    <row r="123" spans="1:5" x14ac:dyDescent="0.2">
      <c r="A123" s="8" t="s">
        <v>242</v>
      </c>
      <c r="B123" s="8">
        <v>166949</v>
      </c>
      <c r="C123" s="8">
        <v>149440</v>
      </c>
      <c r="D123" s="9" t="s">
        <v>228</v>
      </c>
      <c r="E123" s="9">
        <v>0</v>
      </c>
    </row>
    <row r="124" spans="1:5" x14ac:dyDescent="0.2">
      <c r="A124" s="8" t="s">
        <v>243</v>
      </c>
      <c r="B124" s="8">
        <v>18850</v>
      </c>
      <c r="C124" s="8">
        <v>15471</v>
      </c>
      <c r="D124" s="9" t="s">
        <v>167</v>
      </c>
      <c r="E124" s="9">
        <v>0</v>
      </c>
    </row>
    <row r="125" spans="1:5" x14ac:dyDescent="0.2">
      <c r="A125" s="8" t="s">
        <v>20</v>
      </c>
      <c r="B125" s="8">
        <v>8638</v>
      </c>
      <c r="C125" s="8">
        <v>6153</v>
      </c>
      <c r="D125" s="9" t="s">
        <v>228</v>
      </c>
      <c r="E125" s="9">
        <v>0</v>
      </c>
    </row>
    <row r="126" spans="1:5" x14ac:dyDescent="0.2">
      <c r="A126" s="8" t="s">
        <v>244</v>
      </c>
      <c r="B126" s="8">
        <v>35372</v>
      </c>
      <c r="C126" s="8">
        <v>26705</v>
      </c>
      <c r="D126" s="9" t="s">
        <v>167</v>
      </c>
      <c r="E126" s="9">
        <v>0</v>
      </c>
    </row>
    <row r="127" spans="1:5" x14ac:dyDescent="0.2">
      <c r="A127" s="8" t="s">
        <v>245</v>
      </c>
      <c r="B127" s="16">
        <v>32997</v>
      </c>
      <c r="C127" s="8">
        <v>25085</v>
      </c>
      <c r="D127" s="9" t="s">
        <v>246</v>
      </c>
      <c r="E127" s="9">
        <v>0</v>
      </c>
    </row>
    <row r="128" spans="1:5" x14ac:dyDescent="0.2">
      <c r="A128" s="8" t="s">
        <v>247</v>
      </c>
      <c r="B128" s="16">
        <v>158311</v>
      </c>
      <c r="C128" s="18">
        <v>143287</v>
      </c>
      <c r="D128" s="9" t="s">
        <v>248</v>
      </c>
      <c r="E128" s="9">
        <v>0</v>
      </c>
    </row>
    <row r="129" spans="1:5" x14ac:dyDescent="0.2">
      <c r="A129" s="8" t="s">
        <v>249</v>
      </c>
      <c r="B129" s="16">
        <v>7634</v>
      </c>
      <c r="C129" s="18">
        <v>7800</v>
      </c>
      <c r="D129" s="9" t="s">
        <v>250</v>
      </c>
      <c r="E129" s="9">
        <v>0</v>
      </c>
    </row>
    <row r="130" spans="1:5" x14ac:dyDescent="0.2">
      <c r="A130" s="8" t="s">
        <v>126</v>
      </c>
      <c r="B130" s="16">
        <v>90582</v>
      </c>
      <c r="C130" s="18">
        <v>77886</v>
      </c>
      <c r="D130" s="9" t="s">
        <v>182</v>
      </c>
      <c r="E130" s="9">
        <v>0</v>
      </c>
    </row>
    <row r="131" spans="1:5" x14ac:dyDescent="0.2">
      <c r="A131" s="8" t="s">
        <v>91</v>
      </c>
      <c r="B131" s="16">
        <v>-936</v>
      </c>
      <c r="C131" s="18">
        <v>-4515</v>
      </c>
      <c r="D131" s="9" t="s">
        <v>228</v>
      </c>
      <c r="E131" s="9">
        <v>0</v>
      </c>
    </row>
    <row r="132" spans="1:5" x14ac:dyDescent="0.2">
      <c r="A132" s="8" t="s">
        <v>251</v>
      </c>
      <c r="B132" s="16">
        <v>360488</v>
      </c>
      <c r="C132" s="18">
        <v>380632</v>
      </c>
      <c r="D132" s="9" t="s">
        <v>228</v>
      </c>
      <c r="E132" s="9">
        <v>0</v>
      </c>
    </row>
    <row r="133" spans="1:5" x14ac:dyDescent="0.2">
      <c r="A133" s="8" t="s">
        <v>252</v>
      </c>
      <c r="B133" s="16">
        <v>2375</v>
      </c>
      <c r="C133" s="18">
        <v>1620</v>
      </c>
      <c r="D133" s="9" t="s">
        <v>167</v>
      </c>
      <c r="E133" s="9">
        <v>0</v>
      </c>
    </row>
    <row r="134" spans="1:5" x14ac:dyDescent="0.2">
      <c r="A134" s="8" t="s">
        <v>21</v>
      </c>
      <c r="B134" s="17">
        <v>4245460</v>
      </c>
      <c r="C134" s="19">
        <v>3695680</v>
      </c>
      <c r="D134" s="9" t="s">
        <v>228</v>
      </c>
      <c r="E134" s="9">
        <v>0</v>
      </c>
    </row>
    <row r="135" spans="1:5" x14ac:dyDescent="0.2">
      <c r="A135" s="8" t="s">
        <v>22</v>
      </c>
      <c r="B135" s="17">
        <v>3524492</v>
      </c>
      <c r="C135" s="19">
        <v>3048437</v>
      </c>
      <c r="D135" s="9" t="s">
        <v>228</v>
      </c>
      <c r="E135" s="9">
        <v>0</v>
      </c>
    </row>
    <row r="136" spans="1:5" x14ac:dyDescent="0.2">
      <c r="A136" s="8" t="s">
        <v>253</v>
      </c>
      <c r="B136" s="16">
        <v>147</v>
      </c>
      <c r="C136" s="18">
        <v>10</v>
      </c>
      <c r="D136" s="9" t="s">
        <v>230</v>
      </c>
      <c r="E136" s="9">
        <v>0</v>
      </c>
    </row>
    <row r="137" spans="1:5" x14ac:dyDescent="0.2">
      <c r="A137" s="8" t="s">
        <v>253</v>
      </c>
      <c r="B137" s="8">
        <v>1094</v>
      </c>
      <c r="C137" s="8">
        <v>18</v>
      </c>
      <c r="D137" s="9" t="s">
        <v>230</v>
      </c>
      <c r="E137" s="9">
        <v>0</v>
      </c>
    </row>
    <row r="138" spans="1:5" x14ac:dyDescent="0.2">
      <c r="A138" s="8" t="s">
        <v>254</v>
      </c>
      <c r="B138" s="16">
        <v>118</v>
      </c>
      <c r="C138" s="18">
        <v>337</v>
      </c>
      <c r="D138" s="9" t="s">
        <v>230</v>
      </c>
      <c r="E138" s="9">
        <v>0</v>
      </c>
    </row>
    <row r="139" spans="1:5" x14ac:dyDescent="0.2">
      <c r="A139" s="8" t="s">
        <v>254</v>
      </c>
      <c r="B139" s="16">
        <v>1002</v>
      </c>
      <c r="C139" s="18">
        <v>1867</v>
      </c>
      <c r="D139" s="9" t="s">
        <v>230</v>
      </c>
      <c r="E139" s="9">
        <v>0</v>
      </c>
    </row>
    <row r="140" spans="1:5" x14ac:dyDescent="0.2">
      <c r="A140" s="8" t="s">
        <v>254</v>
      </c>
      <c r="B140" s="16">
        <v>211</v>
      </c>
      <c r="C140" s="18">
        <v>129</v>
      </c>
      <c r="D140" s="9" t="s">
        <v>230</v>
      </c>
      <c r="E140" s="9">
        <v>0</v>
      </c>
    </row>
    <row r="141" spans="1:5" x14ac:dyDescent="0.2">
      <c r="A141" s="8" t="s">
        <v>254</v>
      </c>
      <c r="B141" s="16">
        <v>973</v>
      </c>
      <c r="C141" s="18">
        <v>2839</v>
      </c>
      <c r="D141" s="9" t="s">
        <v>230</v>
      </c>
      <c r="E141" s="9">
        <v>0</v>
      </c>
    </row>
    <row r="142" spans="1:5" x14ac:dyDescent="0.2">
      <c r="A142" s="8" t="s">
        <v>255</v>
      </c>
      <c r="B142" s="16">
        <v>509145</v>
      </c>
      <c r="C142" s="16">
        <v>494741</v>
      </c>
      <c r="D142" s="9" t="s">
        <v>256</v>
      </c>
      <c r="E142" s="9">
        <v>0</v>
      </c>
    </row>
    <row r="143" spans="1:5" x14ac:dyDescent="0.2">
      <c r="A143" s="8" t="s">
        <v>255</v>
      </c>
      <c r="B143" s="16">
        <v>40653</v>
      </c>
      <c r="C143" s="18">
        <v>30061</v>
      </c>
      <c r="D143" s="9" t="s">
        <v>256</v>
      </c>
      <c r="E143" s="9">
        <v>0</v>
      </c>
    </row>
    <row r="144" spans="1:5" x14ac:dyDescent="0.2">
      <c r="A144" s="8" t="s">
        <v>255</v>
      </c>
      <c r="B144" s="17">
        <v>314728</v>
      </c>
      <c r="C144" s="19">
        <v>112262</v>
      </c>
      <c r="D144" s="9" t="s">
        <v>256</v>
      </c>
      <c r="E144" s="9">
        <v>0</v>
      </c>
    </row>
    <row r="145" spans="1:5" x14ac:dyDescent="0.2">
      <c r="A145" s="8" t="s">
        <v>255</v>
      </c>
      <c r="B145" s="17">
        <v>28875</v>
      </c>
      <c r="C145" s="19">
        <v>7329</v>
      </c>
      <c r="D145" s="9" t="s">
        <v>256</v>
      </c>
      <c r="E145" s="9">
        <v>0</v>
      </c>
    </row>
    <row r="146" spans="1:5" x14ac:dyDescent="0.2">
      <c r="A146" s="8" t="s">
        <v>255</v>
      </c>
      <c r="B146" s="16">
        <v>124889</v>
      </c>
      <c r="C146" s="18">
        <v>158839</v>
      </c>
      <c r="D146" s="9" t="s">
        <v>256</v>
      </c>
      <c r="E146" s="9">
        <v>0</v>
      </c>
    </row>
    <row r="147" spans="1:5" x14ac:dyDescent="0.2">
      <c r="A147" s="8" t="s">
        <v>257</v>
      </c>
      <c r="B147" s="8">
        <v>508202</v>
      </c>
      <c r="C147" s="9">
        <v>488870</v>
      </c>
      <c r="D147" s="9" t="s">
        <v>258</v>
      </c>
      <c r="E147" s="9">
        <v>0</v>
      </c>
    </row>
    <row r="148" spans="1:5" x14ac:dyDescent="0.2">
      <c r="A148" s="8" t="s">
        <v>257</v>
      </c>
      <c r="B148" s="16">
        <v>40682</v>
      </c>
      <c r="C148" s="18">
        <v>29734</v>
      </c>
      <c r="D148" s="9" t="s">
        <v>258</v>
      </c>
      <c r="E148" s="9">
        <v>0</v>
      </c>
    </row>
    <row r="149" spans="1:5" x14ac:dyDescent="0.2">
      <c r="A149" s="8" t="s">
        <v>257</v>
      </c>
      <c r="B149" s="16">
        <v>314820</v>
      </c>
      <c r="C149" s="18">
        <v>110413</v>
      </c>
      <c r="D149" s="9" t="s">
        <v>258</v>
      </c>
      <c r="E149" s="9">
        <v>0</v>
      </c>
    </row>
    <row r="150" spans="1:5" x14ac:dyDescent="0.2">
      <c r="A150" s="8" t="s">
        <v>257</v>
      </c>
      <c r="B150" s="16">
        <v>28748</v>
      </c>
      <c r="C150" s="18">
        <v>7200</v>
      </c>
      <c r="D150" s="9" t="s">
        <v>258</v>
      </c>
      <c r="E150" s="9">
        <v>1</v>
      </c>
    </row>
    <row r="151" spans="1:5" x14ac:dyDescent="0.2">
      <c r="A151" s="8" t="s">
        <v>257</v>
      </c>
      <c r="B151" s="16">
        <v>123952</v>
      </c>
      <c r="C151" s="18">
        <v>156000</v>
      </c>
      <c r="D151" s="9" t="s">
        <v>258</v>
      </c>
      <c r="E151" s="9">
        <v>1</v>
      </c>
    </row>
    <row r="152" spans="1:5" x14ac:dyDescent="0.2">
      <c r="A152" s="8" t="s">
        <v>259</v>
      </c>
      <c r="B152" s="16">
        <v>207857</v>
      </c>
      <c r="C152" s="18">
        <v>162611</v>
      </c>
      <c r="D152" s="9" t="s">
        <v>172</v>
      </c>
      <c r="E152" s="9">
        <v>0</v>
      </c>
    </row>
    <row r="153" spans="1:5" x14ac:dyDescent="0.2">
      <c r="A153" s="8" t="s">
        <v>260</v>
      </c>
      <c r="B153" s="16">
        <v>324269</v>
      </c>
      <c r="C153" s="18">
        <v>248738</v>
      </c>
      <c r="D153" s="9" t="s">
        <v>172</v>
      </c>
      <c r="E153" s="9">
        <v>0</v>
      </c>
    </row>
    <row r="154" spans="1:5" x14ac:dyDescent="0.2">
      <c r="A154" s="8" t="s">
        <v>261</v>
      </c>
      <c r="B154" s="16">
        <v>116412</v>
      </c>
      <c r="C154" s="18">
        <v>86127</v>
      </c>
      <c r="D154" s="9" t="s">
        <v>262</v>
      </c>
      <c r="E154" s="9">
        <v>0</v>
      </c>
    </row>
    <row r="155" spans="1:5" x14ac:dyDescent="0.2">
      <c r="A155" s="8" t="s">
        <v>263</v>
      </c>
      <c r="B155" s="16">
        <v>445862</v>
      </c>
      <c r="C155" s="18">
        <v>372331</v>
      </c>
      <c r="D155" s="9" t="s">
        <v>148</v>
      </c>
      <c r="E155" s="9">
        <v>0</v>
      </c>
    </row>
    <row r="156" spans="1:5" x14ac:dyDescent="0.2">
      <c r="A156" s="8" t="s">
        <v>263</v>
      </c>
      <c r="B156" s="16">
        <v>195726</v>
      </c>
      <c r="C156" s="18">
        <v>153366</v>
      </c>
      <c r="D156" s="9" t="s">
        <v>148</v>
      </c>
      <c r="E156" s="9">
        <v>0</v>
      </c>
    </row>
    <row r="157" spans="1:5" x14ac:dyDescent="0.2">
      <c r="A157" s="8" t="s">
        <v>263</v>
      </c>
      <c r="B157" s="16">
        <v>250136</v>
      </c>
      <c r="C157" s="18">
        <v>218965</v>
      </c>
      <c r="D157" s="9" t="s">
        <v>148</v>
      </c>
      <c r="E157" s="9">
        <v>0</v>
      </c>
    </row>
    <row r="158" spans="1:5" x14ac:dyDescent="0.2">
      <c r="A158" s="8" t="s">
        <v>264</v>
      </c>
      <c r="B158" s="16">
        <v>97859</v>
      </c>
      <c r="C158" s="18">
        <v>78109</v>
      </c>
      <c r="D158" s="9" t="s">
        <v>228</v>
      </c>
      <c r="E158" s="9">
        <v>0</v>
      </c>
    </row>
    <row r="159" spans="1:5" x14ac:dyDescent="0.2">
      <c r="A159" s="8" t="s">
        <v>265</v>
      </c>
      <c r="B159" s="16">
        <v>348003</v>
      </c>
      <c r="C159" s="18">
        <v>294222</v>
      </c>
      <c r="D159" s="9" t="s">
        <v>228</v>
      </c>
      <c r="E159" s="9">
        <v>0</v>
      </c>
    </row>
    <row r="160" spans="1:5" x14ac:dyDescent="0.2">
      <c r="A160" s="8" t="s">
        <v>29</v>
      </c>
      <c r="B160" s="16">
        <v>1E-3</v>
      </c>
      <c r="C160" s="18">
        <v>1E-3</v>
      </c>
      <c r="D160" s="9" t="s">
        <v>266</v>
      </c>
      <c r="E160" s="9">
        <v>0</v>
      </c>
    </row>
    <row r="161" spans="1:5" x14ac:dyDescent="0.2">
      <c r="A161" s="8" t="s">
        <v>98</v>
      </c>
      <c r="B161" s="16">
        <v>155000</v>
      </c>
      <c r="C161" s="18">
        <v>155000</v>
      </c>
      <c r="D161" s="9" t="s">
        <v>266</v>
      </c>
      <c r="E161" s="9">
        <v>0</v>
      </c>
    </row>
    <row r="162" spans="1:5" x14ac:dyDescent="0.2">
      <c r="A162" s="8" t="s">
        <v>100</v>
      </c>
      <c r="B162" s="16">
        <v>55514</v>
      </c>
      <c r="C162" s="18">
        <v>55912</v>
      </c>
      <c r="D162" s="9" t="s">
        <v>266</v>
      </c>
      <c r="E162" s="9">
        <v>0</v>
      </c>
    </row>
    <row r="163" spans="1:5" x14ac:dyDescent="0.2">
      <c r="A163" s="8" t="s">
        <v>92</v>
      </c>
      <c r="B163" s="8">
        <v>56</v>
      </c>
      <c r="C163" s="9">
        <v>56</v>
      </c>
      <c r="D163" s="9" t="s">
        <v>228</v>
      </c>
      <c r="E163" s="9">
        <v>0</v>
      </c>
    </row>
    <row r="164" spans="1:5" x14ac:dyDescent="0.2">
      <c r="A164" s="8" t="s">
        <v>267</v>
      </c>
      <c r="B164" s="16">
        <v>24883</v>
      </c>
      <c r="C164" s="18">
        <v>22617</v>
      </c>
      <c r="D164" s="9" t="s">
        <v>161</v>
      </c>
      <c r="E164" s="9">
        <v>0</v>
      </c>
    </row>
    <row r="165" spans="1:5" x14ac:dyDescent="0.2">
      <c r="A165" s="8" t="s">
        <v>41</v>
      </c>
      <c r="B165" s="16">
        <v>25949</v>
      </c>
      <c r="C165" s="18">
        <v>24539</v>
      </c>
      <c r="D165" s="9" t="s">
        <v>268</v>
      </c>
      <c r="E165" s="9">
        <v>0</v>
      </c>
    </row>
    <row r="166" spans="1:5" x14ac:dyDescent="0.2">
      <c r="A166" s="8" t="s">
        <v>269</v>
      </c>
      <c r="B166" s="16">
        <v>121141</v>
      </c>
      <c r="C166" s="18">
        <v>104818</v>
      </c>
      <c r="D166" s="9" t="s">
        <v>270</v>
      </c>
      <c r="E166" s="9">
        <v>0</v>
      </c>
    </row>
    <row r="167" spans="1:5" x14ac:dyDescent="0.2">
      <c r="A167" s="8" t="s">
        <v>269</v>
      </c>
      <c r="B167" s="16">
        <v>8335</v>
      </c>
      <c r="C167" s="18">
        <v>2038</v>
      </c>
      <c r="D167" s="9" t="s">
        <v>270</v>
      </c>
      <c r="E167" s="9">
        <v>0</v>
      </c>
    </row>
    <row r="168" spans="1:5" x14ac:dyDescent="0.2">
      <c r="A168" s="8" t="s">
        <v>269</v>
      </c>
      <c r="B168" s="16">
        <v>30057</v>
      </c>
      <c r="C168" s="18">
        <v>32807</v>
      </c>
      <c r="D168" s="9" t="s">
        <v>270</v>
      </c>
      <c r="E168" s="9">
        <v>0</v>
      </c>
    </row>
    <row r="169" spans="1:5" x14ac:dyDescent="0.2">
      <c r="A169" s="8" t="s">
        <v>269</v>
      </c>
      <c r="B169" s="16">
        <v>10525</v>
      </c>
      <c r="C169" s="18">
        <v>1874</v>
      </c>
      <c r="D169" s="9" t="s">
        <v>270</v>
      </c>
      <c r="E169" s="9">
        <v>0</v>
      </c>
    </row>
    <row r="170" spans="1:5" x14ac:dyDescent="0.2">
      <c r="A170" s="8" t="s">
        <v>269</v>
      </c>
      <c r="B170" s="16">
        <v>72224</v>
      </c>
      <c r="C170" s="18">
        <v>60612</v>
      </c>
      <c r="D170" s="9" t="s">
        <v>270</v>
      </c>
      <c r="E170" s="9">
        <v>0</v>
      </c>
    </row>
    <row r="171" spans="1:5" x14ac:dyDescent="0.2">
      <c r="A171" s="8" t="s">
        <v>271</v>
      </c>
      <c r="B171" s="8">
        <v>1646</v>
      </c>
      <c r="C171" s="9">
        <v>3611</v>
      </c>
      <c r="D171" s="9" t="s">
        <v>270</v>
      </c>
      <c r="E171" s="9">
        <v>0</v>
      </c>
    </row>
    <row r="172" spans="1:5" x14ac:dyDescent="0.2">
      <c r="A172" s="8" t="s">
        <v>271</v>
      </c>
      <c r="B172" s="16">
        <v>117</v>
      </c>
      <c r="C172" s="18">
        <v>104</v>
      </c>
      <c r="D172" s="9" t="s">
        <v>270</v>
      </c>
      <c r="E172" s="9">
        <v>0</v>
      </c>
    </row>
    <row r="173" spans="1:5" x14ac:dyDescent="0.2">
      <c r="A173" s="8" t="s">
        <v>271</v>
      </c>
      <c r="B173" s="16">
        <v>514</v>
      </c>
      <c r="C173" s="18">
        <v>1172</v>
      </c>
      <c r="D173" s="9" t="s">
        <v>270</v>
      </c>
      <c r="E173" s="9">
        <v>0</v>
      </c>
    </row>
    <row r="174" spans="1:5" x14ac:dyDescent="0.2">
      <c r="A174" s="8" t="s">
        <v>271</v>
      </c>
      <c r="B174" s="16">
        <v>199</v>
      </c>
      <c r="C174" s="18">
        <v>58</v>
      </c>
      <c r="D174" s="9" t="s">
        <v>270</v>
      </c>
      <c r="E174" s="9">
        <v>0</v>
      </c>
    </row>
    <row r="175" spans="1:5" x14ac:dyDescent="0.2">
      <c r="A175" s="8" t="s">
        <v>271</v>
      </c>
      <c r="B175" s="16">
        <v>816</v>
      </c>
      <c r="C175" s="18">
        <v>1764</v>
      </c>
      <c r="D175" s="9" t="s">
        <v>270</v>
      </c>
      <c r="E175" s="9">
        <v>0</v>
      </c>
    </row>
    <row r="176" spans="1:5" x14ac:dyDescent="0.2">
      <c r="A176" s="8" t="s">
        <v>272</v>
      </c>
      <c r="B176" s="16">
        <v>155235</v>
      </c>
      <c r="C176" s="18">
        <v>344035</v>
      </c>
      <c r="D176" s="9" t="s">
        <v>270</v>
      </c>
      <c r="E176" s="9">
        <v>0</v>
      </c>
    </row>
    <row r="177" spans="1:5" x14ac:dyDescent="0.2">
      <c r="A177" s="8" t="s">
        <v>272</v>
      </c>
      <c r="B177" s="16">
        <v>1069</v>
      </c>
      <c r="C177" s="18">
        <v>23313</v>
      </c>
      <c r="D177" s="9" t="s">
        <v>270</v>
      </c>
      <c r="E177" s="9">
        <v>0</v>
      </c>
    </row>
    <row r="178" spans="1:5" x14ac:dyDescent="0.2">
      <c r="A178" s="8" t="s">
        <v>272</v>
      </c>
      <c r="B178" s="16">
        <v>105957</v>
      </c>
      <c r="C178" s="18">
        <v>71089</v>
      </c>
      <c r="D178" s="9" t="s">
        <v>270</v>
      </c>
      <c r="E178" s="9">
        <v>0</v>
      </c>
    </row>
    <row r="179" spans="1:5" x14ac:dyDescent="0.2">
      <c r="A179" s="8" t="s">
        <v>272</v>
      </c>
      <c r="B179" s="8">
        <v>3497</v>
      </c>
      <c r="C179" s="9">
        <v>5326</v>
      </c>
      <c r="D179" s="9" t="s">
        <v>270</v>
      </c>
      <c r="E179" s="9">
        <v>0</v>
      </c>
    </row>
    <row r="180" spans="1:5" x14ac:dyDescent="0.2">
      <c r="A180" s="8" t="s">
        <v>272</v>
      </c>
      <c r="B180" s="16">
        <v>44712</v>
      </c>
      <c r="C180" s="18">
        <v>95388</v>
      </c>
      <c r="D180" s="9" t="s">
        <v>270</v>
      </c>
      <c r="E180" s="9">
        <v>0</v>
      </c>
    </row>
    <row r="181" spans="1:5" x14ac:dyDescent="0.2">
      <c r="A181" s="8" t="s">
        <v>273</v>
      </c>
      <c r="B181" s="16">
        <v>658</v>
      </c>
      <c r="C181" s="18">
        <v>2305</v>
      </c>
      <c r="D181" s="9" t="s">
        <v>270</v>
      </c>
      <c r="E181">
        <v>0</v>
      </c>
    </row>
    <row r="182" spans="1:5" x14ac:dyDescent="0.2">
      <c r="A182" s="8" t="s">
        <v>273</v>
      </c>
      <c r="B182" s="16">
        <v>1</v>
      </c>
      <c r="C182" s="18">
        <v>233</v>
      </c>
      <c r="D182" s="9" t="s">
        <v>270</v>
      </c>
      <c r="E182">
        <v>0</v>
      </c>
    </row>
    <row r="183" spans="1:5" x14ac:dyDescent="0.2">
      <c r="A183" s="8" t="s">
        <v>273</v>
      </c>
      <c r="B183" s="16">
        <v>488</v>
      </c>
      <c r="C183" s="18">
        <v>695</v>
      </c>
      <c r="D183" s="9" t="s">
        <v>270</v>
      </c>
      <c r="E183">
        <v>0</v>
      </c>
    </row>
    <row r="184" spans="1:5" x14ac:dyDescent="0.2">
      <c r="A184" s="8" t="s">
        <v>273</v>
      </c>
      <c r="B184" s="16">
        <v>12</v>
      </c>
      <c r="C184" s="18">
        <v>71</v>
      </c>
      <c r="D184" s="9" t="s">
        <v>270</v>
      </c>
      <c r="E184">
        <v>1</v>
      </c>
    </row>
    <row r="185" spans="1:5" x14ac:dyDescent="0.2">
      <c r="A185" s="8" t="s">
        <v>273</v>
      </c>
      <c r="B185" s="16">
        <v>157</v>
      </c>
      <c r="C185" s="18">
        <v>1075</v>
      </c>
      <c r="D185" s="9" t="s">
        <v>270</v>
      </c>
      <c r="E185">
        <v>0</v>
      </c>
    </row>
    <row r="186" spans="1:5" x14ac:dyDescent="0.2">
      <c r="A186" s="8" t="s">
        <v>274</v>
      </c>
      <c r="B186" s="16">
        <v>276376</v>
      </c>
      <c r="C186" s="18">
        <v>448853</v>
      </c>
      <c r="D186" s="9" t="s">
        <v>270</v>
      </c>
      <c r="E186">
        <v>0</v>
      </c>
    </row>
    <row r="187" spans="1:5" x14ac:dyDescent="0.2">
      <c r="A187" s="8" t="s">
        <v>274</v>
      </c>
      <c r="B187" s="16">
        <v>9404</v>
      </c>
      <c r="C187" s="18">
        <v>25351</v>
      </c>
      <c r="D187" s="9" t="s">
        <v>270</v>
      </c>
      <c r="E187">
        <v>0</v>
      </c>
    </row>
    <row r="188" spans="1:5" x14ac:dyDescent="0.2">
      <c r="A188" s="8" t="s">
        <v>274</v>
      </c>
      <c r="B188" s="16">
        <v>136014</v>
      </c>
      <c r="C188" s="18">
        <v>103896</v>
      </c>
      <c r="D188" s="9" t="s">
        <v>270</v>
      </c>
      <c r="E188">
        <v>0</v>
      </c>
    </row>
    <row r="189" spans="1:5" x14ac:dyDescent="0.2">
      <c r="A189" s="8" t="s">
        <v>274</v>
      </c>
      <c r="B189" s="16">
        <v>14022</v>
      </c>
      <c r="C189" s="18">
        <v>7200</v>
      </c>
      <c r="D189" s="9" t="s">
        <v>270</v>
      </c>
      <c r="E189">
        <v>1</v>
      </c>
    </row>
    <row r="190" spans="1:5" x14ac:dyDescent="0.2">
      <c r="A190" s="8" t="s">
        <v>274</v>
      </c>
      <c r="B190" s="9">
        <v>116936</v>
      </c>
      <c r="C190" s="9">
        <v>156000</v>
      </c>
      <c r="D190" s="9" t="s">
        <v>270</v>
      </c>
      <c r="E190">
        <v>1</v>
      </c>
    </row>
    <row r="191" spans="1:5" x14ac:dyDescent="0.2">
      <c r="A191" s="8" t="s">
        <v>93</v>
      </c>
      <c r="B191" s="16">
        <v>17816</v>
      </c>
      <c r="C191" s="18">
        <v>15846</v>
      </c>
      <c r="D191" s="9" t="s">
        <v>228</v>
      </c>
      <c r="E191">
        <v>0</v>
      </c>
    </row>
    <row r="192" spans="1:5" x14ac:dyDescent="0.2">
      <c r="A192" s="8" t="s">
        <v>127</v>
      </c>
      <c r="B192" s="9">
        <v>138357</v>
      </c>
      <c r="C192" s="9">
        <v>121627</v>
      </c>
      <c r="D192" s="9" t="s">
        <v>118</v>
      </c>
      <c r="E192">
        <v>0</v>
      </c>
    </row>
    <row r="193" spans="1:5" x14ac:dyDescent="0.2">
      <c r="A193" s="8" t="s">
        <v>23</v>
      </c>
      <c r="B193" s="16">
        <v>41824</v>
      </c>
      <c r="C193" s="18">
        <v>11820</v>
      </c>
      <c r="D193" s="9" t="s">
        <v>228</v>
      </c>
      <c r="E193">
        <v>0</v>
      </c>
    </row>
    <row r="194" spans="1:5" x14ac:dyDescent="0.2">
      <c r="A194" s="8" t="s">
        <v>128</v>
      </c>
      <c r="B194" s="16">
        <v>114349</v>
      </c>
      <c r="C194" s="18">
        <v>127003</v>
      </c>
      <c r="D194" s="9" t="s">
        <v>118</v>
      </c>
      <c r="E194">
        <v>1</v>
      </c>
    </row>
    <row r="195" spans="1:5" x14ac:dyDescent="0.2">
      <c r="A195" s="8" t="s">
        <v>129</v>
      </c>
      <c r="B195" s="16">
        <v>114349</v>
      </c>
      <c r="C195" s="18">
        <v>125653</v>
      </c>
      <c r="D195" s="9" t="s">
        <v>118</v>
      </c>
      <c r="E195">
        <v>1</v>
      </c>
    </row>
    <row r="196" spans="1:5" x14ac:dyDescent="0.2">
      <c r="A196" s="9" t="s">
        <v>130</v>
      </c>
      <c r="B196" s="16">
        <v>4282</v>
      </c>
      <c r="C196" s="18">
        <v>13010</v>
      </c>
      <c r="D196" s="9" t="s">
        <v>118</v>
      </c>
      <c r="E196">
        <v>0</v>
      </c>
    </row>
    <row r="197" spans="1:5" x14ac:dyDescent="0.2">
      <c r="A197" s="9" t="s">
        <v>131</v>
      </c>
      <c r="B197" s="16">
        <v>17907</v>
      </c>
      <c r="C197" s="18">
        <v>35016</v>
      </c>
      <c r="D197" s="9" t="s">
        <v>118</v>
      </c>
      <c r="E197">
        <v>0</v>
      </c>
    </row>
    <row r="198" spans="1:5" x14ac:dyDescent="0.2">
      <c r="A198" s="9" t="s">
        <v>275</v>
      </c>
      <c r="B198" s="16">
        <v>28595</v>
      </c>
      <c r="C198" s="18">
        <v>27402</v>
      </c>
      <c r="D198" s="9" t="s">
        <v>118</v>
      </c>
      <c r="E198">
        <v>0</v>
      </c>
    </row>
    <row r="199" spans="1:5" x14ac:dyDescent="0.2">
      <c r="A199" s="9" t="s">
        <v>276</v>
      </c>
      <c r="B199" s="16">
        <v>19706</v>
      </c>
      <c r="C199" s="18">
        <v>19610</v>
      </c>
      <c r="D199" s="9" t="s">
        <v>118</v>
      </c>
      <c r="E199">
        <v>0</v>
      </c>
    </row>
    <row r="200" spans="1:5" x14ac:dyDescent="0.2">
      <c r="A200" s="9" t="s">
        <v>132</v>
      </c>
      <c r="B200" s="16">
        <v>2661</v>
      </c>
      <c r="C200" s="18">
        <v>2626</v>
      </c>
      <c r="D200" s="9" t="s">
        <v>118</v>
      </c>
      <c r="E200">
        <v>0</v>
      </c>
    </row>
    <row r="201" spans="1:5" x14ac:dyDescent="0.2">
      <c r="A201" s="9" t="s">
        <v>277</v>
      </c>
      <c r="B201" s="16">
        <v>10559</v>
      </c>
      <c r="C201" s="18">
        <v>10947</v>
      </c>
      <c r="D201" s="9" t="s">
        <v>118</v>
      </c>
      <c r="E201">
        <v>0</v>
      </c>
    </row>
    <row r="202" spans="1:5" x14ac:dyDescent="0.2">
      <c r="A202" s="8" t="s">
        <v>24</v>
      </c>
      <c r="B202" s="16">
        <v>93248</v>
      </c>
      <c r="C202" s="18">
        <v>85019</v>
      </c>
      <c r="D202" s="9" t="s">
        <v>268</v>
      </c>
      <c r="E202">
        <v>0</v>
      </c>
    </row>
    <row r="203" spans="1:5" x14ac:dyDescent="0.2">
      <c r="A203" s="9" t="s">
        <v>106</v>
      </c>
      <c r="B203" s="16">
        <v>44478</v>
      </c>
      <c r="C203" s="18">
        <v>34042</v>
      </c>
      <c r="D203" s="9" t="s">
        <v>168</v>
      </c>
      <c r="E203">
        <v>0</v>
      </c>
    </row>
    <row r="204" spans="1:5" x14ac:dyDescent="0.2">
      <c r="A204" s="9" t="s">
        <v>107</v>
      </c>
      <c r="B204" s="10">
        <v>72769</v>
      </c>
      <c r="C204" s="10">
        <v>68569</v>
      </c>
      <c r="D204" s="9" t="s">
        <v>278</v>
      </c>
      <c r="E204">
        <v>0</v>
      </c>
    </row>
    <row r="205" spans="1:5" x14ac:dyDescent="0.2">
      <c r="A205" s="9" t="s">
        <v>107</v>
      </c>
      <c r="B205" s="10">
        <v>47329</v>
      </c>
      <c r="C205" s="10">
        <v>43129</v>
      </c>
      <c r="D205" s="9" t="s">
        <v>278</v>
      </c>
      <c r="E205">
        <v>0</v>
      </c>
    </row>
    <row r="206" spans="1:5" x14ac:dyDescent="0.2">
      <c r="A206" s="8" t="s">
        <v>107</v>
      </c>
      <c r="B206" s="10">
        <v>22200</v>
      </c>
      <c r="C206" s="10">
        <v>22200</v>
      </c>
      <c r="D206" s="9" t="s">
        <v>278</v>
      </c>
      <c r="E206">
        <v>0</v>
      </c>
    </row>
    <row r="207" spans="1:5" x14ac:dyDescent="0.2">
      <c r="A207" s="8" t="s">
        <v>107</v>
      </c>
      <c r="B207" s="10">
        <v>1600</v>
      </c>
      <c r="C207" s="10">
        <v>1600</v>
      </c>
      <c r="D207" s="9" t="s">
        <v>278</v>
      </c>
      <c r="E207">
        <v>0</v>
      </c>
    </row>
    <row r="208" spans="1:5" x14ac:dyDescent="0.2">
      <c r="A208" s="8" t="s">
        <v>107</v>
      </c>
      <c r="B208" s="10">
        <v>1640</v>
      </c>
      <c r="C208" s="10">
        <v>1640</v>
      </c>
      <c r="D208" s="9" t="s">
        <v>278</v>
      </c>
      <c r="E208">
        <v>0</v>
      </c>
    </row>
    <row r="209" spans="1:5" x14ac:dyDescent="0.2">
      <c r="A209" s="8" t="s">
        <v>101</v>
      </c>
      <c r="B209" s="10">
        <v>28291</v>
      </c>
      <c r="C209" s="10">
        <v>34527</v>
      </c>
      <c r="D209" s="9" t="s">
        <v>279</v>
      </c>
      <c r="E209">
        <v>0</v>
      </c>
    </row>
    <row r="210" spans="1:5" x14ac:dyDescent="0.2">
      <c r="A210" s="8" t="s">
        <v>280</v>
      </c>
      <c r="B210" s="10">
        <v>2952060</v>
      </c>
      <c r="C210" s="10">
        <v>2621415</v>
      </c>
      <c r="D210" s="9" t="s">
        <v>281</v>
      </c>
      <c r="E210">
        <v>0</v>
      </c>
    </row>
    <row r="211" spans="1:5" x14ac:dyDescent="0.2">
      <c r="A211" s="8" t="s">
        <v>25</v>
      </c>
      <c r="B211" s="10">
        <v>108937</v>
      </c>
      <c r="C211" s="10">
        <v>102054</v>
      </c>
      <c r="D211" s="9" t="s">
        <v>282</v>
      </c>
      <c r="E211">
        <v>0</v>
      </c>
    </row>
    <row r="212" spans="1:5" x14ac:dyDescent="0.2">
      <c r="A212" s="8" t="s">
        <v>283</v>
      </c>
      <c r="B212" s="10">
        <v>3353871</v>
      </c>
      <c r="C212" s="10">
        <v>2910182</v>
      </c>
      <c r="D212" s="9" t="s">
        <v>284</v>
      </c>
      <c r="E212">
        <v>0</v>
      </c>
    </row>
    <row r="213" spans="1:5" x14ac:dyDescent="0.2">
      <c r="A213" s="9" t="s">
        <v>94</v>
      </c>
      <c r="B213" s="10">
        <v>3212396</v>
      </c>
      <c r="C213" s="10">
        <v>2852817</v>
      </c>
      <c r="D213" s="9" t="s">
        <v>228</v>
      </c>
      <c r="E213">
        <v>0</v>
      </c>
    </row>
    <row r="214" spans="1:5" x14ac:dyDescent="0.2">
      <c r="A214" s="9" t="s">
        <v>26</v>
      </c>
      <c r="B214" s="10">
        <v>3117360</v>
      </c>
      <c r="C214" s="10">
        <v>2774795</v>
      </c>
      <c r="D214" s="9" t="s">
        <v>228</v>
      </c>
      <c r="E214">
        <v>0</v>
      </c>
    </row>
    <row r="215" spans="1:5" x14ac:dyDescent="0.2">
      <c r="A215" s="9" t="s">
        <v>285</v>
      </c>
      <c r="B215" s="10">
        <v>7069</v>
      </c>
      <c r="C215" s="10">
        <v>4348</v>
      </c>
      <c r="D215" s="9" t="s">
        <v>167</v>
      </c>
      <c r="E215">
        <v>0</v>
      </c>
    </row>
    <row r="216" spans="1:5" x14ac:dyDescent="0.2">
      <c r="A216" s="9" t="s">
        <v>27</v>
      </c>
      <c r="B216" s="10">
        <v>46814</v>
      </c>
      <c r="C216" s="10">
        <v>62471</v>
      </c>
      <c r="D216" s="9" t="s">
        <v>286</v>
      </c>
      <c r="E216">
        <v>0</v>
      </c>
    </row>
    <row r="217" spans="1:5" x14ac:dyDescent="0.2">
      <c r="A217" s="9" t="s">
        <v>28</v>
      </c>
      <c r="B217" s="10">
        <v>33792</v>
      </c>
      <c r="C217" s="10">
        <v>44067</v>
      </c>
      <c r="D217" s="9" t="s">
        <v>286</v>
      </c>
      <c r="E217">
        <v>0</v>
      </c>
    </row>
    <row r="218" spans="1:5" x14ac:dyDescent="0.2">
      <c r="A218" s="8" t="s">
        <v>113</v>
      </c>
      <c r="B218" s="10">
        <v>4.62</v>
      </c>
      <c r="C218" s="10">
        <v>3.52</v>
      </c>
      <c r="D218" s="9" t="s">
        <v>250</v>
      </c>
      <c r="E218">
        <v>0</v>
      </c>
    </row>
    <row r="219" spans="1:5" x14ac:dyDescent="0.2">
      <c r="A219" s="8" t="s">
        <v>114</v>
      </c>
      <c r="B219" s="10">
        <v>7</v>
      </c>
      <c r="C219" s="10">
        <v>8</v>
      </c>
      <c r="D219" s="9" t="s">
        <v>250</v>
      </c>
      <c r="E219">
        <v>0</v>
      </c>
    </row>
    <row r="220" spans="1:5" x14ac:dyDescent="0.2">
      <c r="A220" s="8" t="s">
        <v>95</v>
      </c>
      <c r="B220" s="10">
        <v>31481</v>
      </c>
      <c r="C220" s="10">
        <v>25929</v>
      </c>
      <c r="D220" s="9" t="s">
        <v>268</v>
      </c>
      <c r="E220">
        <v>0</v>
      </c>
    </row>
    <row r="221" spans="1:5" x14ac:dyDescent="0.2">
      <c r="A221" s="8" t="s">
        <v>31</v>
      </c>
      <c r="B221" s="10">
        <v>6398</v>
      </c>
      <c r="C221" s="10">
        <v>3731</v>
      </c>
      <c r="D221" s="9" t="s">
        <v>228</v>
      </c>
      <c r="E221">
        <v>0</v>
      </c>
    </row>
    <row r="222" spans="1:5" x14ac:dyDescent="0.2">
      <c r="A222" s="8" t="s">
        <v>99</v>
      </c>
      <c r="B222" s="10">
        <v>5000</v>
      </c>
      <c r="C222" s="10">
        <v>5000</v>
      </c>
      <c r="D222" s="9" t="s">
        <v>266</v>
      </c>
      <c r="E222">
        <v>0</v>
      </c>
    </row>
    <row r="223" spans="1:5" x14ac:dyDescent="0.2">
      <c r="A223" s="9" t="s">
        <v>96</v>
      </c>
      <c r="B223" s="10">
        <v>39765</v>
      </c>
      <c r="C223" s="10">
        <v>35061</v>
      </c>
      <c r="D223" s="9" t="s">
        <v>228</v>
      </c>
      <c r="E223">
        <v>0</v>
      </c>
    </row>
    <row r="224" spans="1:5" x14ac:dyDescent="0.2">
      <c r="A224" s="9" t="s">
        <v>287</v>
      </c>
      <c r="B224" s="10">
        <v>7077</v>
      </c>
      <c r="C224" s="10">
        <v>6331</v>
      </c>
      <c r="D224" s="9" t="s">
        <v>228</v>
      </c>
      <c r="E224">
        <v>0</v>
      </c>
    </row>
    <row r="225" spans="1:5" x14ac:dyDescent="0.2">
      <c r="A225" s="9" t="s">
        <v>133</v>
      </c>
      <c r="B225" s="10">
        <v>151222</v>
      </c>
      <c r="C225" s="10">
        <v>141955</v>
      </c>
      <c r="D225" s="9" t="s">
        <v>182</v>
      </c>
      <c r="E225">
        <v>0</v>
      </c>
    </row>
    <row r="226" spans="1:5" x14ac:dyDescent="0.2">
      <c r="A226" s="8" t="s">
        <v>133</v>
      </c>
      <c r="B226" s="10">
        <v>9738</v>
      </c>
      <c r="C226" s="10">
        <v>8533</v>
      </c>
      <c r="D226" s="9" t="s">
        <v>182</v>
      </c>
      <c r="E226">
        <v>0</v>
      </c>
    </row>
    <row r="227" spans="1:5" x14ac:dyDescent="0.2">
      <c r="A227" s="8" t="s">
        <v>133</v>
      </c>
      <c r="B227" s="10">
        <v>63138</v>
      </c>
      <c r="C227" s="10">
        <v>58670</v>
      </c>
      <c r="D227" s="9" t="s">
        <v>182</v>
      </c>
      <c r="E227">
        <v>0</v>
      </c>
    </row>
    <row r="228" spans="1:5" x14ac:dyDescent="0.2">
      <c r="A228" s="8" t="s">
        <v>133</v>
      </c>
      <c r="B228" s="10">
        <v>13102</v>
      </c>
      <c r="C228" s="10">
        <v>11127</v>
      </c>
      <c r="D228" s="9" t="s">
        <v>182</v>
      </c>
      <c r="E228">
        <v>0</v>
      </c>
    </row>
    <row r="229" spans="1:5" x14ac:dyDescent="0.2">
      <c r="A229" s="8" t="s">
        <v>133</v>
      </c>
      <c r="B229" s="10">
        <v>13081</v>
      </c>
      <c r="C229" s="10">
        <v>12958</v>
      </c>
      <c r="D229" s="9" t="s">
        <v>182</v>
      </c>
      <c r="E229">
        <v>0</v>
      </c>
    </row>
    <row r="230" spans="1:5" x14ac:dyDescent="0.2">
      <c r="A230" s="8" t="s">
        <v>133</v>
      </c>
      <c r="B230" s="10">
        <v>49392</v>
      </c>
      <c r="C230" s="10">
        <v>48159</v>
      </c>
      <c r="D230" s="9" t="s">
        <v>182</v>
      </c>
      <c r="E230">
        <v>0</v>
      </c>
    </row>
    <row r="231" spans="1:5" x14ac:dyDescent="0.2">
      <c r="A231" s="8" t="s">
        <v>133</v>
      </c>
      <c r="B231" s="10">
        <v>2771</v>
      </c>
      <c r="C231" s="10">
        <v>2508</v>
      </c>
      <c r="D231" s="9" t="s">
        <v>182</v>
      </c>
      <c r="E231">
        <v>0</v>
      </c>
    </row>
    <row r="232" spans="1:5" x14ac:dyDescent="0.2">
      <c r="A232" s="8" t="s">
        <v>30</v>
      </c>
      <c r="B232" s="10">
        <v>60640</v>
      </c>
      <c r="C232" s="10">
        <v>64069</v>
      </c>
      <c r="D232" s="9" t="s">
        <v>288</v>
      </c>
      <c r="E232">
        <v>0</v>
      </c>
    </row>
    <row r="233" spans="1:5" x14ac:dyDescent="0.2">
      <c r="A233" s="9" t="s">
        <v>97</v>
      </c>
      <c r="B233" s="10">
        <v>673456</v>
      </c>
      <c r="C233" s="10">
        <v>466690</v>
      </c>
      <c r="D233" s="9" t="s">
        <v>228</v>
      </c>
      <c r="E233">
        <v>0</v>
      </c>
    </row>
    <row r="234" spans="1:5" x14ac:dyDescent="0.2">
      <c r="A234" s="9" t="s">
        <v>289</v>
      </c>
      <c r="B234" s="10">
        <v>197</v>
      </c>
      <c r="C234" s="10">
        <v>171</v>
      </c>
      <c r="D234" s="9" t="s">
        <v>290</v>
      </c>
      <c r="E234">
        <v>0</v>
      </c>
    </row>
    <row r="235" spans="1:5" x14ac:dyDescent="0.2">
      <c r="A235" s="8" t="s">
        <v>289</v>
      </c>
      <c r="B235" s="10">
        <v>1290</v>
      </c>
      <c r="C235" s="10">
        <v>1242</v>
      </c>
      <c r="D235" s="9" t="s">
        <v>290</v>
      </c>
      <c r="E235">
        <v>0</v>
      </c>
    </row>
    <row r="236" spans="1:5" x14ac:dyDescent="0.2">
      <c r="A236" s="8" t="s">
        <v>291</v>
      </c>
      <c r="B236" s="10">
        <v>335.79</v>
      </c>
      <c r="C236" s="10">
        <v>320.38</v>
      </c>
      <c r="D236" s="9" t="s">
        <v>290</v>
      </c>
      <c r="E236">
        <v>0</v>
      </c>
    </row>
    <row r="237" spans="1:5" x14ac:dyDescent="0.2">
      <c r="A237" s="8" t="s">
        <v>291</v>
      </c>
      <c r="B237" s="10">
        <v>214.98</v>
      </c>
      <c r="C237" s="10">
        <v>225.3</v>
      </c>
      <c r="D237" s="9" t="s">
        <v>290</v>
      </c>
      <c r="E237">
        <v>0</v>
      </c>
    </row>
    <row r="238" spans="1:5" x14ac:dyDescent="0.2">
      <c r="A238" s="9" t="s">
        <v>292</v>
      </c>
      <c r="B238" s="10">
        <v>17301</v>
      </c>
      <c r="C238" s="10">
        <v>46129</v>
      </c>
      <c r="D238" s="9" t="s">
        <v>216</v>
      </c>
      <c r="E238">
        <v>0</v>
      </c>
    </row>
    <row r="239" spans="1:5" x14ac:dyDescent="0.2">
      <c r="A239" s="9" t="s">
        <v>134</v>
      </c>
      <c r="B239" s="10">
        <v>167</v>
      </c>
      <c r="C239" s="10">
        <v>288</v>
      </c>
      <c r="D239" s="9" t="s">
        <v>216</v>
      </c>
      <c r="E239">
        <v>0</v>
      </c>
    </row>
    <row r="240" spans="1:5" x14ac:dyDescent="0.2">
      <c r="A240" s="9" t="s">
        <v>135</v>
      </c>
      <c r="B240" s="10">
        <v>28.13</v>
      </c>
      <c r="C240" s="10">
        <v>23.63</v>
      </c>
      <c r="D240" s="9" t="s">
        <v>216</v>
      </c>
      <c r="E240">
        <v>0</v>
      </c>
    </row>
    <row r="241" spans="1:5" x14ac:dyDescent="0.2">
      <c r="A241" s="8" t="s">
        <v>9</v>
      </c>
      <c r="B241" s="10">
        <v>1033064</v>
      </c>
      <c r="C241" s="10">
        <v>842863</v>
      </c>
      <c r="D241" s="9" t="s">
        <v>293</v>
      </c>
      <c r="E241">
        <v>0</v>
      </c>
    </row>
    <row r="242" spans="1:5" x14ac:dyDescent="0.2">
      <c r="A242" s="9" t="s">
        <v>136</v>
      </c>
      <c r="B242" s="10">
        <v>2435</v>
      </c>
      <c r="C242" s="10">
        <v>1552</v>
      </c>
      <c r="D242" s="9" t="s">
        <v>225</v>
      </c>
      <c r="E242">
        <v>0</v>
      </c>
    </row>
    <row r="243" spans="1:5" x14ac:dyDescent="0.2">
      <c r="A243" s="9"/>
      <c r="B243" s="10"/>
      <c r="C243" s="10"/>
      <c r="D243" s="9"/>
      <c r="E243"/>
    </row>
    <row r="244" spans="1:5" x14ac:dyDescent="0.2">
      <c r="A244" s="9"/>
      <c r="B244" s="10"/>
      <c r="C244" s="10"/>
      <c r="D244" s="9"/>
      <c r="E244"/>
    </row>
    <row r="245" spans="1:5" x14ac:dyDescent="0.2">
      <c r="A245" s="8"/>
      <c r="B245" s="10"/>
      <c r="C245" s="10"/>
      <c r="D245" s="9"/>
      <c r="E245"/>
    </row>
    <row r="246" spans="1:5" x14ac:dyDescent="0.2">
      <c r="A246" s="8"/>
      <c r="B246" s="10"/>
      <c r="C246" s="10"/>
      <c r="D246" s="9"/>
      <c r="E246"/>
    </row>
    <row r="247" spans="1:5" x14ac:dyDescent="0.2">
      <c r="A247" s="8"/>
      <c r="B247" s="10"/>
      <c r="C247" s="10"/>
      <c r="D247" s="9"/>
      <c r="E247"/>
    </row>
    <row r="248" spans="1:5" x14ac:dyDescent="0.2">
      <c r="A248" s="9"/>
      <c r="B248" s="10"/>
      <c r="C248" s="10"/>
      <c r="D248" s="9"/>
      <c r="E248"/>
    </row>
    <row r="249" spans="1:5" x14ac:dyDescent="0.2">
      <c r="A249" s="9"/>
      <c r="B249" s="10"/>
      <c r="C249" s="10"/>
      <c r="D249" s="9"/>
      <c r="E249"/>
    </row>
    <row r="250" spans="1:5" x14ac:dyDescent="0.2">
      <c r="A250" s="9"/>
      <c r="B250" s="10"/>
      <c r="C250" s="10"/>
      <c r="D250" s="9"/>
      <c r="E250"/>
    </row>
    <row r="251" spans="1:5" x14ac:dyDescent="0.2">
      <c r="A251" s="9"/>
      <c r="B251" s="10"/>
      <c r="C251" s="10"/>
      <c r="D251" s="9"/>
      <c r="E251"/>
    </row>
    <row r="252" spans="1:5" x14ac:dyDescent="0.2">
      <c r="A252" s="9"/>
      <c r="B252" s="10"/>
      <c r="C252" s="10"/>
      <c r="D252" s="9"/>
      <c r="E252"/>
    </row>
    <row r="253" spans="1:5" x14ac:dyDescent="0.2">
      <c r="A253" s="8"/>
      <c r="B253" s="10"/>
      <c r="C253" s="10"/>
      <c r="D253" s="9"/>
      <c r="E253"/>
    </row>
    <row r="254" spans="1:5" x14ac:dyDescent="0.2">
      <c r="A254" s="8"/>
      <c r="B254" s="10"/>
      <c r="C254" s="10"/>
      <c r="D254" s="9"/>
      <c r="E254"/>
    </row>
    <row r="255" spans="1:5" x14ac:dyDescent="0.2">
      <c r="A255" s="9"/>
      <c r="B255" s="10"/>
      <c r="C255" s="10"/>
      <c r="D255" s="9"/>
      <c r="E255"/>
    </row>
    <row r="256" spans="1:5" x14ac:dyDescent="0.2">
      <c r="A256" s="9"/>
      <c r="B256" s="10"/>
      <c r="C256" s="10"/>
      <c r="D256" s="9"/>
      <c r="E256"/>
    </row>
    <row r="257" spans="1:5" x14ac:dyDescent="0.2">
      <c r="A257" s="9"/>
      <c r="B257" s="10"/>
      <c r="C257" s="10"/>
      <c r="D257" s="9"/>
      <c r="E257"/>
    </row>
    <row r="258" spans="1:5" x14ac:dyDescent="0.2">
      <c r="A258" s="9"/>
      <c r="B258" s="10"/>
      <c r="C258" s="10"/>
      <c r="D258" s="9"/>
      <c r="E258"/>
    </row>
    <row r="259" spans="1:5" x14ac:dyDescent="0.2">
      <c r="A259" s="9"/>
      <c r="B259" s="10"/>
      <c r="C259" s="10"/>
      <c r="D259" s="9"/>
      <c r="E259"/>
    </row>
    <row r="260" spans="1:5" x14ac:dyDescent="0.2">
      <c r="A260" s="9"/>
      <c r="B260" s="10"/>
      <c r="C260" s="10"/>
      <c r="D260" s="9"/>
      <c r="E260"/>
    </row>
    <row r="261" spans="1:5" x14ac:dyDescent="0.2">
      <c r="A261" s="9"/>
      <c r="B261" s="10"/>
      <c r="C261" s="10"/>
      <c r="D261" s="9"/>
      <c r="E261"/>
    </row>
    <row r="262" spans="1:5" x14ac:dyDescent="0.2">
      <c r="A262" s="9"/>
      <c r="B262" s="10"/>
      <c r="C262" s="10"/>
      <c r="D262" s="9"/>
      <c r="E262"/>
    </row>
    <row r="263" spans="1:5" x14ac:dyDescent="0.2">
      <c r="A263" s="9"/>
      <c r="B263" s="10"/>
      <c r="C263" s="10"/>
      <c r="D263" s="9"/>
      <c r="E263"/>
    </row>
    <row r="264" spans="1:5" x14ac:dyDescent="0.2">
      <c r="A264" s="9"/>
      <c r="B264" s="10"/>
      <c r="C264" s="10"/>
      <c r="D264" s="9"/>
      <c r="E264"/>
    </row>
    <row r="265" spans="1:5" x14ac:dyDescent="0.2">
      <c r="A265" s="9"/>
      <c r="B265" s="10"/>
      <c r="C265" s="10"/>
      <c r="D265" s="9"/>
      <c r="E265"/>
    </row>
    <row r="266" spans="1:5" x14ac:dyDescent="0.2">
      <c r="A266" s="9"/>
      <c r="B266" s="10"/>
      <c r="C266" s="10"/>
      <c r="D266" s="9"/>
      <c r="E266"/>
    </row>
    <row r="267" spans="1:5" x14ac:dyDescent="0.2">
      <c r="A267" s="9"/>
      <c r="B267" s="10"/>
      <c r="C267" s="10"/>
      <c r="D267" s="9"/>
      <c r="E267"/>
    </row>
    <row r="268" spans="1:5" x14ac:dyDescent="0.2">
      <c r="A268" s="9"/>
      <c r="B268" s="10"/>
      <c r="C268" s="10"/>
      <c r="D268" s="9"/>
      <c r="E268"/>
    </row>
    <row r="269" spans="1:5" x14ac:dyDescent="0.2">
      <c r="A269" s="9"/>
      <c r="B269" s="10"/>
      <c r="C269" s="10"/>
      <c r="D269" s="9"/>
      <c r="E269"/>
    </row>
    <row r="270" spans="1:5" x14ac:dyDescent="0.2">
      <c r="A270" s="8"/>
      <c r="B270" s="10"/>
      <c r="C270" s="10"/>
      <c r="D270" s="9"/>
      <c r="E270"/>
    </row>
    <row r="271" spans="1:5" x14ac:dyDescent="0.2">
      <c r="A271" s="9"/>
      <c r="B271" s="10"/>
      <c r="C271" s="10"/>
      <c r="D271" s="9"/>
      <c r="E271"/>
    </row>
    <row r="272" spans="1:5" x14ac:dyDescent="0.2">
      <c r="A272" s="9"/>
      <c r="B272" s="10"/>
      <c r="C272" s="10"/>
      <c r="D272" s="9"/>
    </row>
    <row r="273" spans="1:6" x14ac:dyDescent="0.2">
      <c r="A273" s="9"/>
      <c r="B273" s="10"/>
      <c r="C273" s="10"/>
      <c r="D273" s="9"/>
    </row>
    <row r="274" spans="1:6" x14ac:dyDescent="0.2">
      <c r="A274" s="9"/>
      <c r="B274" s="10"/>
      <c r="C274" s="10"/>
      <c r="D274" s="9"/>
    </row>
    <row r="275" spans="1:6" x14ac:dyDescent="0.2">
      <c r="A275" s="9"/>
      <c r="B275" s="10"/>
      <c r="C275" s="10"/>
      <c r="D275" s="9"/>
    </row>
    <row r="276" spans="1:6" x14ac:dyDescent="0.2">
      <c r="A276" s="9"/>
      <c r="B276" s="10"/>
      <c r="C276" s="10"/>
      <c r="D276" s="9"/>
    </row>
    <row r="277" spans="1:6" x14ac:dyDescent="0.2">
      <c r="A277" s="9"/>
      <c r="B277" s="10"/>
      <c r="C277" s="10"/>
      <c r="D277" s="9"/>
    </row>
    <row r="278" spans="1:6" x14ac:dyDescent="0.2">
      <c r="A278" s="9"/>
      <c r="B278" s="10"/>
      <c r="C278" s="10"/>
      <c r="D278" s="9"/>
    </row>
    <row r="279" spans="1:6" x14ac:dyDescent="0.2">
      <c r="A279" s="9"/>
      <c r="B279" s="10"/>
      <c r="C279" s="10"/>
      <c r="D279" s="9"/>
    </row>
    <row r="280" spans="1:6" x14ac:dyDescent="0.2">
      <c r="A280" s="9"/>
      <c r="B280" s="10"/>
      <c r="C280" s="10"/>
      <c r="D280" s="9"/>
    </row>
    <row r="281" spans="1:6" x14ac:dyDescent="0.2">
      <c r="A281" s="9"/>
      <c r="B281" s="10"/>
      <c r="C281" s="10"/>
      <c r="D281" s="9"/>
    </row>
    <row r="282" spans="1:6" x14ac:dyDescent="0.2">
      <c r="A282" s="9"/>
      <c r="B282" s="10"/>
      <c r="C282" s="10"/>
      <c r="D282" s="9"/>
    </row>
    <row r="283" spans="1:6" x14ac:dyDescent="0.2">
      <c r="A283" s="9"/>
      <c r="B283" s="10"/>
      <c r="C283" s="10"/>
      <c r="D283" s="9"/>
    </row>
    <row r="284" spans="1:6" x14ac:dyDescent="0.2">
      <c r="A284" s="9"/>
      <c r="B284" s="9"/>
      <c r="C284" s="9"/>
      <c r="D284" s="9"/>
      <c r="F284" t="b">
        <f>ISNUMBER(#REF!)</f>
        <v>0</v>
      </c>
    </row>
    <row r="285" spans="1:6" x14ac:dyDescent="0.2">
      <c r="A285" s="9"/>
      <c r="B285" s="10"/>
      <c r="C285" s="10"/>
      <c r="D285" s="9"/>
    </row>
    <row r="286" spans="1:6" x14ac:dyDescent="0.2">
      <c r="A286" s="9"/>
      <c r="B286" s="10"/>
      <c r="C286" s="10"/>
      <c r="D286" s="9"/>
    </row>
    <row r="287" spans="1:6" x14ac:dyDescent="0.2">
      <c r="A287" s="9"/>
      <c r="B287" s="10"/>
      <c r="C287" s="10"/>
      <c r="D287" s="9"/>
    </row>
    <row r="288" spans="1:6" x14ac:dyDescent="0.2">
      <c r="A288" s="9"/>
      <c r="B288" s="10"/>
      <c r="C288" s="10"/>
      <c r="D288" s="9"/>
    </row>
    <row r="289" spans="1:4" x14ac:dyDescent="0.2">
      <c r="A289" s="9"/>
      <c r="B289" s="10"/>
      <c r="C289" s="10"/>
      <c r="D289" s="9"/>
    </row>
    <row r="290" spans="1:4" x14ac:dyDescent="0.2">
      <c r="A290" s="9"/>
      <c r="B290" s="11"/>
      <c r="C290" s="11"/>
      <c r="D290" s="9"/>
    </row>
    <row r="291" spans="1:4" x14ac:dyDescent="0.2">
      <c r="A291" s="9"/>
      <c r="B291" s="11"/>
      <c r="C291" s="11"/>
      <c r="D291" s="9"/>
    </row>
    <row r="292" spans="1:4" x14ac:dyDescent="0.2">
      <c r="A292" s="9"/>
      <c r="B292" s="12"/>
      <c r="C292" s="12"/>
      <c r="D292" s="9"/>
    </row>
    <row r="293" spans="1:4" x14ac:dyDescent="0.2">
      <c r="A293" s="9"/>
      <c r="B293" s="11"/>
      <c r="C293" s="11"/>
      <c r="D293" s="9"/>
    </row>
    <row r="294" spans="1:4" x14ac:dyDescent="0.2">
      <c r="A294" s="9"/>
      <c r="B294" s="12"/>
      <c r="C294" s="12"/>
      <c r="D294" s="9"/>
    </row>
    <row r="295" spans="1:4" x14ac:dyDescent="0.2">
      <c r="A295" s="9"/>
      <c r="B295" s="11"/>
      <c r="C295" s="11"/>
      <c r="D295" s="9"/>
    </row>
    <row r="296" spans="1:4" x14ac:dyDescent="0.2">
      <c r="A296" s="9"/>
      <c r="B296" s="12"/>
      <c r="C296" s="12"/>
      <c r="D296" s="9"/>
    </row>
    <row r="297" spans="1:4" x14ac:dyDescent="0.2">
      <c r="A297" s="9"/>
      <c r="B297" s="11"/>
      <c r="C297" s="11"/>
      <c r="D297" s="9"/>
    </row>
    <row r="298" spans="1:4" x14ac:dyDescent="0.2">
      <c r="A298" s="9"/>
      <c r="B298" s="12"/>
      <c r="C298" s="12"/>
      <c r="D298" s="9"/>
    </row>
    <row r="299" spans="1:4" x14ac:dyDescent="0.2">
      <c r="A299" s="9"/>
      <c r="B299" s="11"/>
      <c r="C299" s="11"/>
      <c r="D299" s="9"/>
    </row>
    <row r="300" spans="1:4" x14ac:dyDescent="0.2">
      <c r="A300" s="9"/>
      <c r="B300" s="11"/>
      <c r="C300" s="11"/>
      <c r="D300" s="9"/>
    </row>
    <row r="301" spans="1:4" x14ac:dyDescent="0.2">
      <c r="A301" s="9"/>
      <c r="B301" s="11"/>
      <c r="C301" s="11"/>
      <c r="D301" s="9"/>
    </row>
    <row r="302" spans="1:4" x14ac:dyDescent="0.2">
      <c r="A302" s="9"/>
      <c r="B302" s="12"/>
      <c r="C302" s="12"/>
      <c r="D302" s="9"/>
    </row>
    <row r="303" spans="1:4" x14ac:dyDescent="0.2">
      <c r="A303" s="9"/>
      <c r="B303" s="11"/>
      <c r="C303" s="11"/>
      <c r="D303" s="9"/>
    </row>
    <row r="304" spans="1:4" x14ac:dyDescent="0.2">
      <c r="A304" s="9"/>
      <c r="B304" s="12"/>
      <c r="C304" s="12"/>
      <c r="D304" s="9"/>
    </row>
    <row r="305" spans="1:4" x14ac:dyDescent="0.2">
      <c r="A305" s="9"/>
      <c r="B305" s="11"/>
      <c r="C305" s="11"/>
      <c r="D305" s="9"/>
    </row>
    <row r="306" spans="1:4" x14ac:dyDescent="0.2">
      <c r="A306" s="9"/>
      <c r="B306" s="11"/>
      <c r="C306" s="11"/>
      <c r="D306" s="9"/>
    </row>
    <row r="307" spans="1:4" x14ac:dyDescent="0.2">
      <c r="A307" s="9"/>
      <c r="B307" s="11"/>
      <c r="C307" s="11"/>
      <c r="D307" s="9"/>
    </row>
    <row r="308" spans="1:4" x14ac:dyDescent="0.2">
      <c r="A308" s="9"/>
      <c r="B308" s="11"/>
      <c r="C308" s="11"/>
      <c r="D308" s="9"/>
    </row>
    <row r="309" spans="1:4" x14ac:dyDescent="0.2">
      <c r="A309" s="9"/>
      <c r="B309" s="9"/>
      <c r="C309" s="9"/>
      <c r="D309" s="9"/>
    </row>
    <row r="310" spans="1:4" x14ac:dyDescent="0.2">
      <c r="A310" s="9"/>
      <c r="B310" s="9"/>
      <c r="C310" s="9"/>
      <c r="D310" s="9"/>
    </row>
    <row r="311" spans="1:4" x14ac:dyDescent="0.2">
      <c r="A311" s="9"/>
      <c r="B311" s="9"/>
      <c r="C311" s="9"/>
      <c r="D311" s="9"/>
    </row>
    <row r="312" spans="1:4" x14ac:dyDescent="0.2">
      <c r="A312" s="9"/>
      <c r="B312" s="9"/>
      <c r="C312" s="9"/>
      <c r="D312" s="9"/>
    </row>
    <row r="313" spans="1:4" x14ac:dyDescent="0.2">
      <c r="A313" s="9"/>
      <c r="B313" s="6"/>
      <c r="C313" s="6"/>
    </row>
    <row r="314" spans="1:4" x14ac:dyDescent="0.2">
      <c r="A314" s="9"/>
      <c r="B314" s="9"/>
      <c r="C314" s="9"/>
    </row>
    <row r="315" spans="1:4" x14ac:dyDescent="0.2">
      <c r="A315" s="9"/>
      <c r="B315" s="9"/>
      <c r="C315" s="9"/>
    </row>
    <row r="316" spans="1:4" x14ac:dyDescent="0.2">
      <c r="A316" s="9"/>
      <c r="B316" s="9"/>
      <c r="C316" s="9"/>
    </row>
    <row r="317" spans="1:4" x14ac:dyDescent="0.2">
      <c r="A317" s="9"/>
      <c r="B317" s="9"/>
      <c r="C317" s="9"/>
    </row>
    <row r="318" spans="1:4" x14ac:dyDescent="0.2">
      <c r="A318" s="9"/>
      <c r="B318" s="9"/>
      <c r="C318" s="9"/>
    </row>
    <row r="319" spans="1:4" x14ac:dyDescent="0.2">
      <c r="A319" s="8"/>
      <c r="B319" s="8"/>
      <c r="C319" s="8"/>
    </row>
    <row r="320" spans="1:4" x14ac:dyDescent="0.2">
      <c r="A320" s="9"/>
      <c r="B320" s="9"/>
      <c r="C320" s="9"/>
    </row>
    <row r="321" spans="1:3" x14ac:dyDescent="0.2">
      <c r="A321" s="9"/>
      <c r="B321" s="9"/>
      <c r="C321" s="9"/>
    </row>
    <row r="322" spans="1:3" x14ac:dyDescent="0.2">
      <c r="A322" s="9"/>
      <c r="B322" s="9"/>
      <c r="C322" s="9"/>
    </row>
    <row r="323" spans="1:3" x14ac:dyDescent="0.2">
      <c r="A323" s="9"/>
      <c r="B323" s="9"/>
      <c r="C323" s="9"/>
    </row>
    <row r="324" spans="1:3" x14ac:dyDescent="0.2">
      <c r="A324" s="9"/>
      <c r="B324" s="9"/>
      <c r="C324" s="9"/>
    </row>
    <row r="325" spans="1:3" x14ac:dyDescent="0.2">
      <c r="A325" s="9"/>
      <c r="B325" s="9"/>
      <c r="C325" s="9"/>
    </row>
    <row r="326" spans="1:3" x14ac:dyDescent="0.2">
      <c r="A326" s="9"/>
      <c r="B326" s="9"/>
      <c r="C326" s="9"/>
    </row>
    <row r="327" spans="1:3" x14ac:dyDescent="0.2">
      <c r="A327" s="9"/>
      <c r="B327" s="9"/>
      <c r="C327" s="9"/>
    </row>
    <row r="328" spans="1:3" x14ac:dyDescent="0.2">
      <c r="A328" s="9"/>
      <c r="B328" s="9"/>
      <c r="C328" s="9"/>
    </row>
    <row r="329" spans="1:3" x14ac:dyDescent="0.2">
      <c r="A329" s="9"/>
      <c r="B329" s="9"/>
      <c r="C329" s="9"/>
    </row>
    <row r="330" spans="1:3" x14ac:dyDescent="0.2">
      <c r="A330" s="9"/>
      <c r="B330" s="9"/>
      <c r="C330" s="9"/>
    </row>
    <row r="331" spans="1:3" x14ac:dyDescent="0.2">
      <c r="A331" s="9"/>
      <c r="B331" s="9"/>
      <c r="C331" s="9"/>
    </row>
    <row r="332" spans="1:3" x14ac:dyDescent="0.2">
      <c r="A332" s="9"/>
      <c r="B332" s="9"/>
      <c r="C332" s="9"/>
    </row>
    <row r="333" spans="1:3" x14ac:dyDescent="0.2">
      <c r="A333" s="9"/>
      <c r="B333" s="9"/>
      <c r="C333" s="9"/>
    </row>
    <row r="334" spans="1:3" x14ac:dyDescent="0.2">
      <c r="A334" s="8"/>
      <c r="B334" s="8"/>
      <c r="C334" s="8"/>
    </row>
    <row r="335" spans="1:3" x14ac:dyDescent="0.2">
      <c r="A335" s="9"/>
      <c r="B335" s="9"/>
      <c r="C335" s="9"/>
    </row>
    <row r="336" spans="1:3" x14ac:dyDescent="0.2">
      <c r="A336" s="9"/>
      <c r="B336" s="9"/>
      <c r="C336" s="9"/>
    </row>
    <row r="337" spans="1:3" x14ac:dyDescent="0.2">
      <c r="A337" s="9"/>
      <c r="B337" s="9"/>
      <c r="C337" s="9"/>
    </row>
    <row r="338" spans="1:3" x14ac:dyDescent="0.2">
      <c r="A338" s="9"/>
      <c r="B338" s="9"/>
      <c r="C338" s="9"/>
    </row>
    <row r="339" spans="1:3" x14ac:dyDescent="0.2">
      <c r="A339" s="9"/>
      <c r="B339" s="9"/>
      <c r="C339" s="9"/>
    </row>
    <row r="340" spans="1:3" x14ac:dyDescent="0.2">
      <c r="A340" s="9"/>
      <c r="B340" s="9"/>
      <c r="C340" s="9"/>
    </row>
    <row r="341" spans="1:3" x14ac:dyDescent="0.2">
      <c r="A341" s="8"/>
      <c r="B341" s="8"/>
      <c r="C341" s="8"/>
    </row>
    <row r="342" spans="1:3" x14ac:dyDescent="0.2">
      <c r="A342" s="8"/>
      <c r="B342" s="8"/>
      <c r="C342" s="8"/>
    </row>
    <row r="343" spans="1:3" x14ac:dyDescent="0.2">
      <c r="A343" s="8"/>
      <c r="B343" s="8"/>
      <c r="C343" s="8"/>
    </row>
    <row r="344" spans="1:3" x14ac:dyDescent="0.2">
      <c r="A344" s="8"/>
      <c r="B344" s="8"/>
      <c r="C344" s="8"/>
    </row>
    <row r="345" spans="1:3" x14ac:dyDescent="0.2">
      <c r="A345" s="8"/>
      <c r="B345" s="8"/>
      <c r="C345" s="8"/>
    </row>
    <row r="346" spans="1:3" x14ac:dyDescent="0.2">
      <c r="A346" s="9"/>
      <c r="B346" s="9"/>
      <c r="C346" s="9"/>
    </row>
    <row r="347" spans="1:3" x14ac:dyDescent="0.2">
      <c r="A347" s="8"/>
      <c r="B347" s="8"/>
      <c r="C347" s="8"/>
    </row>
    <row r="348" spans="1:3" x14ac:dyDescent="0.2">
      <c r="A348" s="8"/>
      <c r="B348" s="8"/>
      <c r="C348" s="8"/>
    </row>
    <row r="349" spans="1:3" x14ac:dyDescent="0.2">
      <c r="A349" s="8"/>
      <c r="B349" s="8"/>
      <c r="C349" s="8"/>
    </row>
    <row r="350" spans="1:3" x14ac:dyDescent="0.2">
      <c r="A350" s="8"/>
      <c r="B350" s="8"/>
      <c r="C350" s="8"/>
    </row>
    <row r="351" spans="1:3" x14ac:dyDescent="0.2">
      <c r="A351" s="13"/>
      <c r="B351" s="13"/>
      <c r="C351" s="13"/>
    </row>
    <row r="352" spans="1:3" x14ac:dyDescent="0.2">
      <c r="A352" s="13"/>
      <c r="B352" s="13"/>
      <c r="C352" s="13"/>
    </row>
    <row r="353" spans="1:3" x14ac:dyDescent="0.2">
      <c r="A353" s="13"/>
      <c r="B353" s="13"/>
      <c r="C353" s="13"/>
    </row>
    <row r="354" spans="1:3" x14ac:dyDescent="0.2">
      <c r="A354" s="13"/>
      <c r="B354" s="13"/>
      <c r="C354" s="13"/>
    </row>
    <row r="356" spans="1:3" x14ac:dyDescent="0.2">
      <c r="A356" s="13"/>
      <c r="B356" s="13"/>
      <c r="C356" s="13"/>
    </row>
    <row r="357" spans="1:3" x14ac:dyDescent="0.2">
      <c r="A357" s="13"/>
      <c r="B357" s="13"/>
      <c r="C357" s="13"/>
    </row>
    <row r="358" spans="1:3" x14ac:dyDescent="0.2">
      <c r="A358" s="13"/>
      <c r="B358" s="13"/>
      <c r="C358" s="13"/>
    </row>
    <row r="359" spans="1:3" x14ac:dyDescent="0.2">
      <c r="A359" s="13"/>
      <c r="B359" s="13"/>
      <c r="C359" s="13"/>
    </row>
    <row r="360" spans="1:3" x14ac:dyDescent="0.2">
      <c r="A360" s="13"/>
      <c r="B360" s="13"/>
      <c r="C360" s="13"/>
    </row>
    <row r="361" spans="1:3" x14ac:dyDescent="0.2">
      <c r="A361" s="13"/>
      <c r="B361" s="13"/>
      <c r="C361" s="13"/>
    </row>
    <row r="362" spans="1:3" x14ac:dyDescent="0.2">
      <c r="A362" s="13"/>
      <c r="B362" s="13"/>
      <c r="C362" s="13"/>
    </row>
    <row r="363" spans="1:3" x14ac:dyDescent="0.2">
      <c r="A363" s="13"/>
      <c r="B363" s="13"/>
      <c r="C363" s="13"/>
    </row>
    <row r="364" spans="1:3" x14ac:dyDescent="0.2">
      <c r="A364" s="13"/>
      <c r="B364" s="13"/>
      <c r="C364" s="13"/>
    </row>
    <row r="365" spans="1:3" x14ac:dyDescent="0.2">
      <c r="A365" s="13"/>
      <c r="B365" s="13"/>
      <c r="C365" s="13"/>
    </row>
    <row r="366" spans="1:3" x14ac:dyDescent="0.2">
      <c r="A366" s="13"/>
      <c r="B366" s="13"/>
      <c r="C366" s="13"/>
    </row>
    <row r="369" spans="1:3" x14ac:dyDescent="0.2">
      <c r="A369" s="13"/>
      <c r="B369" s="13"/>
      <c r="C369" s="13"/>
    </row>
    <row r="370" spans="1:3" x14ac:dyDescent="0.2">
      <c r="A370" s="13"/>
      <c r="B370" s="13"/>
      <c r="C370" s="13"/>
    </row>
    <row r="371" spans="1:3" x14ac:dyDescent="0.2">
      <c r="A371" s="13"/>
      <c r="B371" s="13"/>
      <c r="C371" s="13"/>
    </row>
    <row r="372" spans="1:3" x14ac:dyDescent="0.2">
      <c r="A372" s="13"/>
      <c r="B372" s="13"/>
      <c r="C372" s="13"/>
    </row>
    <row r="373" spans="1:3" x14ac:dyDescent="0.2">
      <c r="A373" s="13"/>
      <c r="B373" s="13"/>
      <c r="C373" s="13"/>
    </row>
    <row r="374" spans="1:3" x14ac:dyDescent="0.2">
      <c r="A374" s="13"/>
      <c r="B374" s="13"/>
      <c r="C374" s="13"/>
    </row>
    <row r="380" spans="1:3" x14ac:dyDescent="0.2">
      <c r="A380" s="13"/>
      <c r="B380" s="13"/>
      <c r="C380" s="13"/>
    </row>
    <row r="381" spans="1:3" x14ac:dyDescent="0.2">
      <c r="A381" s="13"/>
      <c r="B381" s="13"/>
      <c r="C381" s="13"/>
    </row>
    <row r="382" spans="1:3" x14ac:dyDescent="0.2">
      <c r="A382" s="13"/>
      <c r="B382" s="13"/>
      <c r="C382" s="13"/>
    </row>
    <row r="383" spans="1:3" x14ac:dyDescent="0.2">
      <c r="A383" s="13"/>
      <c r="B383" s="13"/>
      <c r="C383" s="13"/>
    </row>
    <row r="384" spans="1:3" x14ac:dyDescent="0.2">
      <c r="A384" s="13"/>
      <c r="B384" s="13"/>
      <c r="C384" s="13"/>
    </row>
    <row r="385" spans="1:3" x14ac:dyDescent="0.2">
      <c r="A385" s="13"/>
      <c r="B385" s="13"/>
      <c r="C385" s="13"/>
    </row>
    <row r="386" spans="1:3" x14ac:dyDescent="0.2">
      <c r="A386" s="13"/>
      <c r="B386" s="13"/>
      <c r="C386" s="13"/>
    </row>
    <row r="392" spans="1:3" x14ac:dyDescent="0.2">
      <c r="A392" s="13"/>
      <c r="B392" s="13"/>
      <c r="C392" s="13"/>
    </row>
    <row r="408" spans="1:3" x14ac:dyDescent="0.2">
      <c r="A408" s="13"/>
      <c r="B408" s="13"/>
      <c r="C408" s="13"/>
    </row>
    <row r="409" spans="1:3" x14ac:dyDescent="0.2">
      <c r="A409" s="13"/>
      <c r="B409" s="13"/>
      <c r="C409" s="13"/>
    </row>
    <row r="445" spans="1:3" x14ac:dyDescent="0.2">
      <c r="A445" s="13"/>
      <c r="B445" s="13"/>
      <c r="C445" s="13"/>
    </row>
    <row r="446" spans="1:3" x14ac:dyDescent="0.2">
      <c r="A446" s="13"/>
      <c r="B446" s="13"/>
      <c r="C446" s="13"/>
    </row>
    <row r="447" spans="1:3" x14ac:dyDescent="0.2">
      <c r="A447" s="13"/>
      <c r="B447" s="13"/>
      <c r="C447" s="13"/>
    </row>
    <row r="448" spans="1:3" x14ac:dyDescent="0.2">
      <c r="A448" s="13"/>
      <c r="B448" s="13"/>
      <c r="C448" s="13"/>
    </row>
    <row r="449" spans="1:3" x14ac:dyDescent="0.2">
      <c r="A449" s="13"/>
      <c r="B449" s="13"/>
      <c r="C449" s="13"/>
    </row>
    <row r="450" spans="1:3" x14ac:dyDescent="0.2">
      <c r="A450" s="13"/>
      <c r="B450" s="13"/>
      <c r="C450" s="13"/>
    </row>
    <row r="451" spans="1:3" x14ac:dyDescent="0.2">
      <c r="A451" s="13"/>
      <c r="B451" s="13"/>
      <c r="C451" s="13"/>
    </row>
    <row r="452" spans="1:3" x14ac:dyDescent="0.2">
      <c r="A452" s="13"/>
      <c r="B452" s="13"/>
      <c r="C452" s="13"/>
    </row>
    <row r="453" spans="1:3" x14ac:dyDescent="0.2">
      <c r="A453" s="13"/>
      <c r="B453" s="13"/>
      <c r="C453" s="13"/>
    </row>
    <row r="454" spans="1:3" x14ac:dyDescent="0.2">
      <c r="A454" s="13"/>
      <c r="B454" s="13"/>
      <c r="C454" s="13"/>
    </row>
    <row r="455" spans="1:3" x14ac:dyDescent="0.2">
      <c r="A455" s="13"/>
      <c r="B455" s="13"/>
      <c r="C455" s="13"/>
    </row>
    <row r="456" spans="1:3" x14ac:dyDescent="0.2">
      <c r="A456" s="13"/>
      <c r="B456" s="13"/>
      <c r="C456" s="13"/>
    </row>
    <row r="457" spans="1:3" x14ac:dyDescent="0.2">
      <c r="A457" s="13"/>
      <c r="B457" s="13"/>
      <c r="C457" s="13"/>
    </row>
    <row r="458" spans="1:3" x14ac:dyDescent="0.2">
      <c r="A458" s="13"/>
      <c r="B458" s="13"/>
      <c r="C458" s="13"/>
    </row>
    <row r="459" spans="1:3" x14ac:dyDescent="0.2">
      <c r="A459" s="13"/>
      <c r="B459" s="13"/>
      <c r="C459" s="13"/>
    </row>
    <row r="460" spans="1:3" x14ac:dyDescent="0.2">
      <c r="A460" s="13"/>
      <c r="B460" s="13"/>
      <c r="C460" s="13"/>
    </row>
    <row r="509" spans="1:3" x14ac:dyDescent="0.2">
      <c r="A509" s="13"/>
      <c r="B509" s="13"/>
      <c r="C509" s="13"/>
    </row>
    <row r="510" spans="1:3" x14ac:dyDescent="0.2">
      <c r="A510" s="13"/>
      <c r="B510" s="13"/>
      <c r="C510" s="13"/>
    </row>
    <row r="511" spans="1:3" x14ac:dyDescent="0.2">
      <c r="A511" s="13"/>
      <c r="B511" s="13"/>
      <c r="C511" s="13"/>
    </row>
    <row r="512" spans="1:3" x14ac:dyDescent="0.2">
      <c r="A512" s="13"/>
      <c r="B512" s="13"/>
      <c r="C512" s="13"/>
    </row>
    <row r="513" spans="1:3" x14ac:dyDescent="0.2">
      <c r="A513" s="13"/>
      <c r="B513" s="13"/>
      <c r="C513" s="13"/>
    </row>
    <row r="514" spans="1:3" x14ac:dyDescent="0.2">
      <c r="A514" s="13"/>
      <c r="B514" s="13"/>
      <c r="C514" s="13"/>
    </row>
    <row r="614" spans="1:3" x14ac:dyDescent="0.2">
      <c r="A614" s="13"/>
      <c r="B614" s="13"/>
      <c r="C614" s="13"/>
    </row>
    <row r="615" spans="1:3" x14ac:dyDescent="0.2">
      <c r="A615" s="13"/>
      <c r="B615" s="13"/>
      <c r="C615" s="13"/>
    </row>
    <row r="616" spans="1:3" x14ac:dyDescent="0.2">
      <c r="A616" s="13"/>
      <c r="B616" s="13"/>
      <c r="C616" s="13"/>
    </row>
    <row r="618" spans="1:3" x14ac:dyDescent="0.2">
      <c r="A618" s="13"/>
      <c r="B618" s="13"/>
      <c r="C618" s="13"/>
    </row>
    <row r="619" spans="1:3" x14ac:dyDescent="0.2">
      <c r="A619" s="13"/>
      <c r="B619" s="13"/>
      <c r="C619" s="13"/>
    </row>
    <row r="620" spans="1:3" x14ac:dyDescent="0.2">
      <c r="A620" s="13"/>
      <c r="B620" s="13"/>
      <c r="C620" s="13"/>
    </row>
    <row r="621" spans="1:3" x14ac:dyDescent="0.2">
      <c r="A621" s="13"/>
      <c r="B621" s="13"/>
      <c r="C621" s="13"/>
    </row>
    <row r="623" spans="1:3" x14ac:dyDescent="0.2">
      <c r="A623" s="13"/>
      <c r="B623" s="13"/>
      <c r="C623" s="13"/>
    </row>
    <row r="624" spans="1:3" x14ac:dyDescent="0.2">
      <c r="A624" s="13"/>
      <c r="B624" s="13"/>
      <c r="C624" s="13"/>
    </row>
    <row r="625" spans="1:3" x14ac:dyDescent="0.2">
      <c r="A625" s="13"/>
      <c r="B625" s="13"/>
      <c r="C625" s="13"/>
    </row>
    <row r="626" spans="1:3" x14ac:dyDescent="0.2">
      <c r="A626" s="13"/>
      <c r="B626" s="13"/>
      <c r="C626" s="13"/>
    </row>
    <row r="627" spans="1:3" x14ac:dyDescent="0.2">
      <c r="A627" s="13"/>
      <c r="B627" s="13"/>
      <c r="C627" s="13"/>
    </row>
    <row r="628" spans="1:3" x14ac:dyDescent="0.2">
      <c r="A628" s="13"/>
      <c r="B628" s="13"/>
      <c r="C628" s="13"/>
    </row>
    <row r="629" spans="1:3" x14ac:dyDescent="0.2">
      <c r="A629" s="13"/>
      <c r="B629" s="13"/>
      <c r="C629" s="13"/>
    </row>
    <row r="630" spans="1:3" x14ac:dyDescent="0.2">
      <c r="A630" s="13"/>
      <c r="B630" s="13"/>
      <c r="C630" s="13"/>
    </row>
    <row r="631" spans="1:3" x14ac:dyDescent="0.2">
      <c r="A631" s="13"/>
      <c r="B631" s="13"/>
      <c r="C631" s="13"/>
    </row>
    <row r="632" spans="1:3" x14ac:dyDescent="0.2">
      <c r="A632" s="13"/>
      <c r="B632" s="13"/>
      <c r="C632" s="13"/>
    </row>
    <row r="633" spans="1:3" x14ac:dyDescent="0.2">
      <c r="A633" s="13"/>
      <c r="B633" s="13"/>
      <c r="C633" s="13"/>
    </row>
    <row r="637" spans="1:3" x14ac:dyDescent="0.2">
      <c r="A637" s="13"/>
      <c r="B637" s="13"/>
      <c r="C637" s="13"/>
    </row>
    <row r="642" spans="1:3" x14ac:dyDescent="0.2">
      <c r="A642" s="13"/>
      <c r="B642" s="13"/>
      <c r="C642" s="13"/>
    </row>
    <row r="643" spans="1:3" x14ac:dyDescent="0.2">
      <c r="A643" s="13"/>
      <c r="B643" s="13"/>
      <c r="C643" s="13"/>
    </row>
    <row r="644" spans="1:3" x14ac:dyDescent="0.2">
      <c r="A644" s="13"/>
      <c r="B644" s="13"/>
      <c r="C644" s="13"/>
    </row>
    <row r="649" spans="1:3" x14ac:dyDescent="0.2">
      <c r="A649" s="13"/>
      <c r="B649" s="13"/>
      <c r="C649" s="13"/>
    </row>
    <row r="652" spans="1:3" x14ac:dyDescent="0.2">
      <c r="A652" s="13"/>
      <c r="B652" s="13"/>
      <c r="C652" s="13"/>
    </row>
    <row r="653" spans="1:3" x14ac:dyDescent="0.2">
      <c r="A653" s="13"/>
      <c r="B653" s="13"/>
      <c r="C653" s="13"/>
    </row>
    <row r="654" spans="1:3" x14ac:dyDescent="0.2">
      <c r="A654" s="13"/>
      <c r="B654" s="13"/>
      <c r="C654" s="13"/>
    </row>
    <row r="655" spans="1:3" x14ac:dyDescent="0.2">
      <c r="A655" s="13"/>
      <c r="B655" s="13"/>
      <c r="C655" s="13"/>
    </row>
    <row r="656" spans="1:3" x14ac:dyDescent="0.2">
      <c r="A656" s="13"/>
      <c r="B656" s="13"/>
      <c r="C656" s="13"/>
    </row>
    <row r="657" spans="1:3" x14ac:dyDescent="0.2">
      <c r="A657" s="13"/>
      <c r="B657" s="13"/>
      <c r="C657" s="13"/>
    </row>
    <row r="658" spans="1:3" x14ac:dyDescent="0.2">
      <c r="A658" s="13"/>
      <c r="B658" s="13"/>
      <c r="C658" s="13"/>
    </row>
    <row r="659" spans="1:3" x14ac:dyDescent="0.2">
      <c r="A659" s="13"/>
      <c r="B659" s="13"/>
      <c r="C659" s="13"/>
    </row>
    <row r="708" spans="1:3" x14ac:dyDescent="0.2">
      <c r="A708" s="13"/>
      <c r="B708" s="13"/>
      <c r="C708" s="13"/>
    </row>
    <row r="712" spans="1:3" x14ac:dyDescent="0.2">
      <c r="A712" s="13"/>
      <c r="B712" s="13"/>
      <c r="C712" s="13"/>
    </row>
    <row r="713" spans="1:3" x14ac:dyDescent="0.2">
      <c r="A713" s="13"/>
      <c r="B713" s="13"/>
      <c r="C713" s="13"/>
    </row>
    <row r="716" spans="1:3" x14ac:dyDescent="0.2">
      <c r="A716" s="13"/>
      <c r="B716" s="13"/>
      <c r="C716" s="13"/>
    </row>
    <row r="717" spans="1:3" x14ac:dyDescent="0.2">
      <c r="A717" s="13"/>
      <c r="B717" s="13"/>
      <c r="C717" s="13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3619500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_EDGAR_Update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29"/>
  <sheetViews>
    <sheetView zoomScale="165" zoomScaleNormal="165" workbookViewId="0">
      <selection activeCell="D29" sqref="D29"/>
    </sheetView>
  </sheetViews>
  <sheetFormatPr baseColWidth="10" defaultColWidth="8.83203125" defaultRowHeight="15" x14ac:dyDescent="0.2"/>
  <cols>
    <col min="1" max="1" width="10.6640625" bestFit="1" customWidth="1"/>
    <col min="2" max="2" width="9.83203125" bestFit="1" customWidth="1"/>
    <col min="3" max="3" width="20.33203125" bestFit="1" customWidth="1"/>
    <col min="4" max="4" width="96.83203125" bestFit="1" customWidth="1"/>
  </cols>
  <sheetData>
    <row r="1" spans="1:6" x14ac:dyDescent="0.2">
      <c r="A1" s="2"/>
      <c r="B1" s="2"/>
      <c r="C1" s="2"/>
      <c r="D1" s="2"/>
    </row>
    <row r="2" spans="1:6" x14ac:dyDescent="0.2">
      <c r="A2" s="1"/>
    </row>
    <row r="3" spans="1:6" x14ac:dyDescent="0.2">
      <c r="C3" s="28"/>
      <c r="D3" s="29" t="s">
        <v>52</v>
      </c>
    </row>
    <row r="4" spans="1:6" x14ac:dyDescent="0.2">
      <c r="C4" s="22"/>
      <c r="D4" s="23"/>
    </row>
    <row r="5" spans="1:6" x14ac:dyDescent="0.2">
      <c r="C5" s="24" t="s">
        <v>45</v>
      </c>
      <c r="D5" s="25" t="s">
        <v>294</v>
      </c>
    </row>
    <row r="6" spans="1:6" x14ac:dyDescent="0.2">
      <c r="C6" s="22"/>
      <c r="D6" s="26" t="s">
        <v>68</v>
      </c>
    </row>
    <row r="7" spans="1:6" x14ac:dyDescent="0.2">
      <c r="A7" s="1"/>
      <c r="C7" s="24" t="s">
        <v>46</v>
      </c>
      <c r="D7" s="30" t="s">
        <v>69</v>
      </c>
    </row>
    <row r="8" spans="1:6" x14ac:dyDescent="0.2">
      <c r="A8" s="1"/>
      <c r="C8" s="24" t="s">
        <v>47</v>
      </c>
      <c r="D8" s="25" t="s">
        <v>84</v>
      </c>
      <c r="F8" s="5"/>
    </row>
    <row r="9" spans="1:6" x14ac:dyDescent="0.2">
      <c r="A9" s="1"/>
      <c r="C9" s="22"/>
      <c r="D9" s="23"/>
      <c r="F9" s="21"/>
    </row>
    <row r="10" spans="1:6" x14ac:dyDescent="0.2">
      <c r="A10" s="1"/>
      <c r="C10" s="24" t="s">
        <v>81</v>
      </c>
      <c r="D10" s="25" t="s">
        <v>70</v>
      </c>
      <c r="F10" s="4"/>
    </row>
    <row r="11" spans="1:6" x14ac:dyDescent="0.2">
      <c r="A11" s="1"/>
      <c r="C11" s="31"/>
      <c r="D11" s="27" t="s">
        <v>295</v>
      </c>
      <c r="F11" s="4"/>
    </row>
    <row r="12" spans="1:6" x14ac:dyDescent="0.2">
      <c r="A12" s="1"/>
    </row>
    <row r="13" spans="1:6" x14ac:dyDescent="0.2">
      <c r="A13" s="1"/>
    </row>
    <row r="14" spans="1:6" x14ac:dyDescent="0.2">
      <c r="A14" s="1"/>
      <c r="C14" s="28"/>
      <c r="D14" s="29" t="s">
        <v>54</v>
      </c>
    </row>
    <row r="15" spans="1:6" x14ac:dyDescent="0.2">
      <c r="A15" s="1"/>
      <c r="C15" s="22"/>
      <c r="D15" s="23"/>
    </row>
    <row r="16" spans="1:6" x14ac:dyDescent="0.2">
      <c r="A16" s="1"/>
      <c r="C16" s="24" t="s">
        <v>55</v>
      </c>
      <c r="D16" s="25" t="s">
        <v>71</v>
      </c>
    </row>
    <row r="17" spans="1:6" x14ac:dyDescent="0.2">
      <c r="A17" s="1"/>
      <c r="C17" s="22"/>
      <c r="D17" s="23" t="s">
        <v>72</v>
      </c>
    </row>
    <row r="18" spans="1:6" x14ac:dyDescent="0.2">
      <c r="A18" s="1"/>
      <c r="C18" s="22"/>
      <c r="D18" s="23" t="s">
        <v>73</v>
      </c>
    </row>
    <row r="19" spans="1:6" x14ac:dyDescent="0.2">
      <c r="A19" s="1"/>
      <c r="C19" s="24" t="s">
        <v>56</v>
      </c>
      <c r="D19" s="25" t="s">
        <v>53</v>
      </c>
      <c r="F19" s="4"/>
    </row>
    <row r="20" spans="1:6" x14ac:dyDescent="0.2">
      <c r="A20" s="1"/>
      <c r="C20" s="22"/>
      <c r="D20" s="23" t="s">
        <v>74</v>
      </c>
    </row>
    <row r="21" spans="1:6" x14ac:dyDescent="0.2">
      <c r="A21" s="1"/>
      <c r="C21" s="24" t="s">
        <v>57</v>
      </c>
      <c r="D21" s="25" t="s">
        <v>82</v>
      </c>
    </row>
    <row r="22" spans="1:6" x14ac:dyDescent="0.2">
      <c r="A22" s="1"/>
      <c r="C22" s="22"/>
      <c r="D22" s="23" t="s">
        <v>75</v>
      </c>
    </row>
    <row r="23" spans="1:6" x14ac:dyDescent="0.2">
      <c r="A23" s="1"/>
      <c r="C23" s="22"/>
      <c r="D23" s="23" t="s">
        <v>80</v>
      </c>
    </row>
    <row r="24" spans="1:6" x14ac:dyDescent="0.2">
      <c r="A24" s="1"/>
      <c r="C24" s="22"/>
      <c r="D24" s="23"/>
    </row>
    <row r="25" spans="1:6" x14ac:dyDescent="0.2">
      <c r="A25" s="1"/>
      <c r="C25" s="24" t="s">
        <v>76</v>
      </c>
      <c r="D25" s="25" t="s">
        <v>77</v>
      </c>
    </row>
    <row r="26" spans="1:6" x14ac:dyDescent="0.2">
      <c r="A26" s="1"/>
      <c r="C26" s="22"/>
      <c r="D26" s="23" t="s">
        <v>78</v>
      </c>
    </row>
    <row r="27" spans="1:6" x14ac:dyDescent="0.2">
      <c r="A27" s="1"/>
      <c r="C27" s="22"/>
      <c r="D27" s="23" t="s">
        <v>79</v>
      </c>
    </row>
    <row r="28" spans="1:6" x14ac:dyDescent="0.2">
      <c r="A28" s="1"/>
      <c r="C28" s="22"/>
      <c r="D28" s="25" t="s">
        <v>296</v>
      </c>
    </row>
    <row r="29" spans="1:6" x14ac:dyDescent="0.2">
      <c r="A29" s="1"/>
      <c r="C29" s="31"/>
      <c r="D29" s="27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K18" sqref="K18"/>
    </sheetView>
  </sheetViews>
  <sheetFormatPr baseColWidth="10" defaultColWidth="8.83203125" defaultRowHeight="15" x14ac:dyDescent="0.2"/>
  <cols>
    <col min="2" max="2" width="29.6640625" customWidth="1"/>
  </cols>
  <sheetData>
    <row r="2" spans="2:2" x14ac:dyDescent="0.2">
      <c r="B2" s="3" t="s">
        <v>58</v>
      </c>
    </row>
    <row r="3" spans="2:2" x14ac:dyDescent="0.2">
      <c r="B3" t="s">
        <v>49</v>
      </c>
    </row>
    <row r="4" spans="2:2" x14ac:dyDescent="0.2">
      <c r="B4" t="s">
        <v>50</v>
      </c>
    </row>
    <row r="6" spans="2:2" x14ac:dyDescent="0.2">
      <c r="B6" s="3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t="s">
        <v>59</v>
      </c>
    </row>
    <row r="9" spans="2:2" x14ac:dyDescent="0.2">
      <c r="B9" s="3" t="s">
        <v>48</v>
      </c>
    </row>
  </sheetData>
  <hyperlinks>
    <hyperlink ref="B2" r:id="rId1" display="https://www.financialmodelupdater.com/" xr:uid="{FB25AE5A-C5D7-FD4B-8197-5D2E5F3081EB}"/>
    <hyperlink ref="B9" r:id="rId2" xr:uid="{303CF5A7-E11F-F647-A1D9-1986F3F7F9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Manager/>
  <Company>Stock Investor Accelerator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Chien</dc:creator>
  <cp:keywords/>
  <dc:description/>
  <cp:lastModifiedBy>Henry Chien</cp:lastModifiedBy>
  <dcterms:created xsi:type="dcterms:W3CDTF">2019-01-04T18:20:31Z</dcterms:created>
  <dcterms:modified xsi:type="dcterms:W3CDTF">2025-05-19T01:00:45Z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