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680" windowWidth="34560" windowHeight="21600" tabRatio="882" firstSheet="0" activeTab="0" autoFilterDateGrouping="1"/>
  </bookViews>
  <sheets>
    <sheet xmlns:r="http://schemas.openxmlformats.org/officeDocument/2006/relationships" name="Raw_data" sheetId="1" state="visible" r:id="rId1"/>
    <sheet xmlns:r="http://schemas.openxmlformats.org/officeDocument/2006/relationships" name="Readme" sheetId="2" state="visible" r:id="rId2"/>
    <sheet xmlns:r="http://schemas.openxmlformats.org/officeDocument/2006/relationships" name="Source" sheetId="3" state="visible" r:id="rId3"/>
  </sheets>
  <definedNames>
    <definedName name="_xleta.IF" hidden="1" xlm="1">#NAME?</definedName>
    <definedName name="_xleta.ISNUMBER" hidden="1" xlm="1">#NAME?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 fullCalcOnLoad="1" iterate="1"/>
</workbook>
</file>

<file path=xl/styles.xml><?xml version="1.0" encoding="utf-8"?>
<styleSheet xmlns="http://schemas.openxmlformats.org/spreadsheetml/2006/main">
  <numFmts count="0"/>
  <fonts count="2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theme="1"/>
      <sz val="11"/>
    </font>
    <font>
      <name val="Arial"/>
      <family val="2"/>
      <color theme="1"/>
      <sz val="10"/>
    </font>
    <font>
      <name val="Arial"/>
      <family val="2"/>
      <color rgb="FF0000FF"/>
      <sz val="10"/>
      <u val="single"/>
    </font>
    <font>
      <name val="Times New Roman"/>
      <family val="2"/>
      <sz val="10"/>
    </font>
    <font>
      <name val="Calibri"/>
      <family val="2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sz val="11"/>
      <scheme val="minor"/>
    </font>
    <font>
      <name val="Times New Roman"/>
      <family val="1"/>
      <sz val="10"/>
    </font>
    <font>
      <name val="Arial"/>
      <family val="2"/>
      <b val="1"/>
      <color theme="1"/>
      <sz val="10"/>
    </font>
    <font>
      <name val="Calibri"/>
      <family val="2"/>
      <color theme="1"/>
      <sz val="11"/>
      <scheme val="minor"/>
    </font>
    <font>
      <name val="Calibri"/>
      <family val="2"/>
      <i val="1"/>
      <color theme="1"/>
      <sz val="11"/>
      <scheme val="minor"/>
    </font>
    <font>
      <name val="Trebuchet MS"/>
      <family val="2"/>
      <color rgb="FF000000"/>
      <sz val="18"/>
    </font>
    <font>
      <name val="Calibri"/>
      <family val="2"/>
      <b val="1"/>
      <color theme="1"/>
      <sz val="11"/>
      <u val="single"/>
      <scheme val="minor"/>
    </font>
    <font>
      <name val="Calibri"/>
      <family val="2"/>
      <color rgb="FF0432FF"/>
      <sz val="11"/>
      <scheme val="minor"/>
    </font>
    <font>
      <name val="Calibri"/>
      <family val="2"/>
      <b val="1"/>
      <color rgb="FF0432FF"/>
      <sz val="11"/>
      <scheme val="minor"/>
    </font>
    <font>
      <name val="Aptos Narrow"/>
      <color rgb="FF000000"/>
      <sz val="16.55"/>
    </font>
  </fonts>
  <fills count="4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0">
    <xf numFmtId="0" fontId="13" fillId="0" borderId="0"/>
    <xf numFmtId="0" fontId="2" fillId="0" borderId="0"/>
    <xf numFmtId="0" fontId="5" fillId="0" borderId="0"/>
    <xf numFmtId="9" fontId="5" fillId="0" borderId="0"/>
    <xf numFmtId="44" fontId="5" fillId="0" borderId="0"/>
    <xf numFmtId="42" fontId="5" fillId="0" borderId="0"/>
    <xf numFmtId="43" fontId="5" fillId="0" borderId="0"/>
    <xf numFmtId="41" fontId="5" fillId="0" borderId="0"/>
    <xf numFmtId="0" fontId="6" fillId="0" borderId="0"/>
    <xf numFmtId="44" fontId="5" fillId="0" borderId="0"/>
    <xf numFmtId="43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9" fontId="13" fillId="0" borderId="0"/>
  </cellStyleXfs>
  <cellXfs count="33">
    <xf numFmtId="0" fontId="0" fillId="0" borderId="0" pivotButton="0" quotePrefix="0" xfId="0"/>
    <xf numFmtId="14" fontId="0" fillId="0" borderId="0" pivotButton="0" quotePrefix="0" xfId="0"/>
    <xf numFmtId="0" fontId="2" fillId="0" borderId="0" pivotButton="0" quotePrefix="0" xfId="1"/>
    <xf numFmtId="0" fontId="1" fillId="0" borderId="0" pivotButton="0" quotePrefix="0" xfId="0"/>
    <xf numFmtId="0" fontId="4" fillId="0" borderId="0" pivotButton="0" quotePrefix="0" xfId="0"/>
    <xf numFmtId="0" fontId="0" fillId="0" borderId="0" applyAlignment="1" pivotButton="0" quotePrefix="0" xfId="0">
      <alignment horizontal="left"/>
    </xf>
    <xf numFmtId="0" fontId="1" fillId="0" borderId="0" applyAlignment="1" pivotButton="0" quotePrefix="0" xfId="0">
      <alignment horizontal="left"/>
    </xf>
    <xf numFmtId="0" fontId="8" fillId="0" borderId="0" applyAlignment="1" pivotButton="0" quotePrefix="0" xfId="0">
      <alignment horizontal="left"/>
    </xf>
    <xf numFmtId="0" fontId="10" fillId="0" borderId="0" applyAlignment="1" pivotButton="0" quotePrefix="0" xfId="0">
      <alignment horizontal="left"/>
    </xf>
    <xf numFmtId="0" fontId="3" fillId="0" borderId="0" applyAlignment="1" pivotButton="0" quotePrefix="0" xfId="2">
      <alignment horizontal="left" wrapText="1"/>
    </xf>
    <xf numFmtId="0" fontId="3" fillId="0" borderId="0" applyAlignment="1" pivotButton="0" quotePrefix="0" xfId="0">
      <alignment horizontal="left" vertical="top"/>
    </xf>
    <xf numFmtId="0" fontId="8" fillId="0" borderId="0" applyAlignment="1" pivotButton="0" quotePrefix="0" xfId="0">
      <alignment horizontal="left" vertical="top"/>
    </xf>
    <xf numFmtId="0" fontId="9" fillId="0" borderId="0" applyAlignment="1" pivotButton="0" quotePrefix="0" xfId="0">
      <alignment horizontal="left"/>
    </xf>
    <xf numFmtId="1" fontId="9" fillId="0" borderId="0" applyAlignment="1" pivotButton="0" quotePrefix="0" xfId="0">
      <alignment horizontal="left"/>
    </xf>
    <xf numFmtId="1" fontId="8" fillId="0" borderId="0" applyAlignment="1" pivotButton="0" quotePrefix="0" xfId="0">
      <alignment horizontal="left"/>
    </xf>
    <xf numFmtId="0" fontId="11" fillId="0" borderId="0" applyAlignment="1" pivotButton="0" quotePrefix="0" xfId="0">
      <alignment horizontal="left"/>
    </xf>
    <xf numFmtId="0" fontId="11" fillId="0" borderId="0" applyAlignment="1" pivotButton="0" quotePrefix="0" xfId="0">
      <alignment horizontal="left" vertical="justify"/>
    </xf>
    <xf numFmtId="0" fontId="7" fillId="0" borderId="0" applyAlignment="1" pivotButton="0" quotePrefix="0" xfId="0">
      <alignment horizontal="left"/>
    </xf>
    <xf numFmtId="0" fontId="7" fillId="0" borderId="0" applyAlignment="1" pivotButton="0" quotePrefix="0" xfId="0">
      <alignment horizontal="left" vertical="justify"/>
    </xf>
    <xf numFmtId="0" fontId="12" fillId="0" borderId="0" pivotButton="0" quotePrefix="0" xfId="0"/>
    <xf numFmtId="0" fontId="14" fillId="0" borderId="0" pivotButton="0" quotePrefix="0" xfId="0"/>
    <xf numFmtId="0" fontId="1" fillId="2" borderId="3" applyAlignment="1" pivotButton="0" quotePrefix="0" xfId="0">
      <alignment horizontal="left"/>
    </xf>
    <xf numFmtId="0" fontId="16" fillId="2" borderId="2" pivotButton="0" quotePrefix="0" xfId="0"/>
    <xf numFmtId="0" fontId="1" fillId="2" borderId="3" pivotButton="0" quotePrefix="0" xfId="0"/>
    <xf numFmtId="0" fontId="18" fillId="3" borderId="1" applyAlignment="1" pivotButton="0" quotePrefix="0" xfId="0">
      <alignment horizontal="left"/>
    </xf>
    <xf numFmtId="0" fontId="17" fillId="3" borderId="1" applyAlignment="1" pivotButton="0" quotePrefix="0" xfId="0">
      <alignment horizontal="left"/>
    </xf>
    <xf numFmtId="0" fontId="17" fillId="3" borderId="1" pivotButton="0" quotePrefix="0" xfId="0"/>
    <xf numFmtId="0" fontId="0" fillId="0" borderId="0" applyAlignment="1" pivotButton="0" quotePrefix="0" xfId="0">
      <alignment horizontal="right"/>
    </xf>
    <xf numFmtId="0" fontId="14" fillId="0" borderId="0" applyAlignment="1" pivotButton="0" quotePrefix="0" xfId="0">
      <alignment horizontal="right"/>
    </xf>
    <xf numFmtId="0" fontId="0" fillId="2" borderId="4" applyAlignment="1" pivotButton="0" quotePrefix="0" xfId="0">
      <alignment horizontal="left"/>
    </xf>
    <xf numFmtId="9" fontId="13" fillId="2" borderId="5" applyAlignment="1" pivotButton="0" quotePrefix="0" xfId="19">
      <alignment horizontal="left"/>
    </xf>
    <xf numFmtId="0" fontId="16" fillId="0" borderId="0" pivotButton="0" quotePrefix="0" xfId="0"/>
    <xf numFmtId="0" fontId="18" fillId="3" borderId="1" pivotButton="0" quotePrefix="0" xfId="0"/>
  </cellXfs>
  <cellStyles count="20">
    <cellStyle name="Normal" xfId="0" builtinId="0"/>
    <cellStyle name="Hyperlink" xfId="1" builtinId="8"/>
    <cellStyle name="Normal 2" xfId="2"/>
    <cellStyle name="Percent 2" xfId="3"/>
    <cellStyle name="Currency 2" xfId="4"/>
    <cellStyle name="Currency [0] 2" xfId="5"/>
    <cellStyle name="Comma 2" xfId="6"/>
    <cellStyle name="Comma [0] 2" xfId="7"/>
    <cellStyle name="Hyperlink 2" xfId="8"/>
    <cellStyle name="Currency 3" xfId="9"/>
    <cellStyle name="Comma 3" xfId="10"/>
    <cellStyle name="Comma 4" xfId="11"/>
    <cellStyle name="Currency 4" xfId="12"/>
    <cellStyle name="Comma 5" xfId="13"/>
    <cellStyle name="Currency 5" xfId="14"/>
    <cellStyle name="Comma 6" xfId="15"/>
    <cellStyle name="Currency 6" xfId="16"/>
    <cellStyle name="Comma 7" xfId="17"/>
    <cellStyle name="Currency 7" xfId="18"/>
    <cellStyle name="Percent" xfId="19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hyperlink" Target="https://www.financialmodelupdater.com/" TargetMode="External" Id="rId1"/><Relationship Type="http://schemas.openxmlformats.org/officeDocument/2006/relationships/hyperlink" Target="https:/henrychien.com" TargetMode="External" Id="rId2"/><Relationship Type="http://schemas.openxmlformats.org/officeDocument/2006/relationships/hyperlink" Target="https://github.com/henrysouchien/edgar-updater" TargetMode="External" Id="rId3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J5000"/>
  <sheetViews>
    <sheetView tabSelected="1" topLeftCell="F1" zoomScale="150" zoomScaleNormal="100" workbookViewId="0">
      <selection activeCell="I16" sqref="I16"/>
    </sheetView>
  </sheetViews>
  <sheetFormatPr baseColWidth="10" defaultColWidth="9.1640625" defaultRowHeight="15" outlineLevelCol="0"/>
  <cols>
    <col width="25.1640625" customWidth="1" style="13" min="1" max="1"/>
    <col width="14.1640625" customWidth="1" style="14" min="2" max="3"/>
    <col width="21.33203125" customWidth="1" style="5" min="4" max="4"/>
    <col width="12" customWidth="1" style="5" min="5" max="5"/>
    <col width="49.6640625" customWidth="1" min="7" max="7"/>
    <col width="8.5" customWidth="1" min="8" max="8"/>
    <col width="58.6640625" customWidth="1" min="9" max="9"/>
  </cols>
  <sheetData>
    <row r="1">
      <c r="A1" s="19" t="inlineStr">
        <is>
          <t>Tag</t>
        </is>
      </c>
      <c r="B1" s="19" t="inlineStr">
        <is>
          <t>Current Period</t>
        </is>
      </c>
      <c r="C1" s="19" t="inlineStr">
        <is>
          <t>Prior Year Period</t>
        </is>
      </c>
      <c r="D1" s="3" t="inlineStr">
        <is>
          <t>Presentation Role</t>
        </is>
      </c>
      <c r="E1" s="19" t="inlineStr">
        <is>
          <t>Collision Flag</t>
        </is>
      </c>
      <c r="G1" s="6" t="inlineStr">
        <is>
          <t>Ticker</t>
        </is>
      </c>
      <c r="H1" s="24" t="inlineStr">
        <is>
          <t>MSFT</t>
        </is>
      </c>
    </row>
    <row r="2">
      <c r="A2" s="7" t="inlineStr">
        <is>
          <t>msft:CashCashEquivalentsAndInvestments</t>
        </is>
      </c>
      <c r="B2" s="7" t="n">
        <v>94828</v>
      </c>
      <c r="C2" s="8" t="n">
        <v>113842</v>
      </c>
      <c r="D2" s="8" t="inlineStr">
        <is>
          <t>None</t>
        </is>
      </c>
      <c r="E2" s="8" t="n">
        <v>0</v>
      </c>
      <c r="G2" s="6" t="inlineStr">
        <is>
          <t>Year</t>
        </is>
      </c>
      <c r="H2" s="24" t="n">
        <v>2024</v>
      </c>
    </row>
    <row r="3">
      <c r="A3" s="7" t="inlineStr">
        <is>
          <t>msft:FinanceLeaseLiabilityPaymentsDueAfterYearFour</t>
        </is>
      </c>
      <c r="B3" s="7" t="n">
        <v>18058</v>
      </c>
      <c r="C3" s="8" t="n">
        <v>12395</v>
      </c>
      <c r="D3" s="8" t="inlineStr">
        <is>
          <t>None</t>
        </is>
      </c>
      <c r="E3" s="8" t="n">
        <v>0</v>
      </c>
      <c r="G3" s="6" t="inlineStr">
        <is>
          <t>Quarter</t>
        </is>
      </c>
      <c r="H3" s="24" t="n">
        <v>3</v>
      </c>
    </row>
    <row r="4">
      <c r="A4" s="7" t="inlineStr">
        <is>
          <t>msft:FinanceReceivablesNet</t>
        </is>
      </c>
      <c r="B4" s="7" t="n">
        <v>2.7</v>
      </c>
      <c r="C4" s="8" t="n">
        <v>2.7</v>
      </c>
      <c r="D4" s="8" t="inlineStr">
        <is>
          <t>None</t>
        </is>
      </c>
      <c r="E4" s="8" t="n">
        <v>1</v>
      </c>
      <c r="G4" s="6" t="inlineStr">
        <is>
          <t>Full Year Mode</t>
        </is>
      </c>
      <c r="H4" s="24" t="inlineStr">
        <is>
          <t>False</t>
        </is>
      </c>
    </row>
    <row r="5">
      <c r="A5" s="7" t="inlineStr">
        <is>
          <t>msft:FinancialInstrumentCovenantMinimumLiquidity</t>
        </is>
      </c>
      <c r="B5" s="7" t="n">
        <v>1</v>
      </c>
      <c r="C5" s="8" t="n">
        <v>1</v>
      </c>
      <c r="D5" s="8" t="inlineStr">
        <is>
          <t>None</t>
        </is>
      </c>
      <c r="E5" s="8" t="n">
        <v>1</v>
      </c>
    </row>
    <row r="6">
      <c r="A6" s="7" t="inlineStr">
        <is>
          <t>msft:FiniteLivedIntangibleAssetsAmortizationExpenseAfterYearFour</t>
        </is>
      </c>
      <c r="B6" s="7" t="n">
        <v>12432</v>
      </c>
      <c r="C6" s="8" t="n">
        <v>2738</v>
      </c>
      <c r="D6" s="8" t="inlineStr">
        <is>
          <t>None</t>
        </is>
      </c>
      <c r="E6" s="8" t="n">
        <v>0</v>
      </c>
    </row>
    <row r="7">
      <c r="A7" s="7" t="inlineStr">
        <is>
          <t>msft:HedgeAccountingFairValueAdjustments</t>
        </is>
      </c>
      <c r="B7" s="7" t="n">
        <v>-85</v>
      </c>
      <c r="C7" s="8" t="n">
        <v>-88</v>
      </c>
      <c r="D7" s="8" t="inlineStr">
        <is>
          <t>None</t>
        </is>
      </c>
      <c r="E7" s="8" t="n">
        <v>0</v>
      </c>
    </row>
    <row r="8">
      <c r="A8" s="7" t="inlineStr">
        <is>
          <t>msft:LesseeOperatingLeaseLiabilityPaymentsDueAfterYearFour</t>
        </is>
      </c>
      <c r="B8" s="7" t="n">
        <v>7812</v>
      </c>
      <c r="C8" s="7" t="n">
        <v>7175</v>
      </c>
      <c r="D8" s="8" t="inlineStr">
        <is>
          <t>None</t>
        </is>
      </c>
      <c r="E8" s="8" t="n">
        <v>0</v>
      </c>
    </row>
    <row r="9">
      <c r="A9" s="7" t="inlineStr">
        <is>
          <t>msft:LongTermDebtMaturitiesRepaymentsOfPrincipalAfterYearFour</t>
        </is>
      </c>
      <c r="B9" s="8" t="n">
        <v>36741</v>
      </c>
      <c r="C9" s="7" t="n">
        <v>34356</v>
      </c>
      <c r="D9" s="8" t="inlineStr">
        <is>
          <t>None</t>
        </is>
      </c>
      <c r="E9" s="8" t="n">
        <v>0</v>
      </c>
      <c r="G9" s="22" t="inlineStr">
        <is>
          <t>Configuration Settings - don't move these cells</t>
        </is>
      </c>
    </row>
    <row r="10">
      <c r="A10" s="7" t="inlineStr">
        <is>
          <t>msft:PremiumOnDebtExchange1</t>
        </is>
      </c>
      <c r="B10" s="7" t="n">
        <v>5003</v>
      </c>
      <c r="C10" s="8" t="n">
        <v>5112</v>
      </c>
      <c r="D10" s="8" t="inlineStr">
        <is>
          <t>None</t>
        </is>
      </c>
      <c r="E10" s="8" t="n">
        <v>0</v>
      </c>
      <c r="G10" s="21" t="inlineStr">
        <is>
          <t>Conversion factor:</t>
        </is>
      </c>
    </row>
    <row r="11">
      <c r="A11" s="7" t="inlineStr">
        <is>
          <t>us-gaap:AccountsPayableCurrent</t>
        </is>
      </c>
      <c r="B11" s="7" t="n">
        <v>18087</v>
      </c>
      <c r="C11" s="7" t="n">
        <v>15305</v>
      </c>
      <c r="D11" s="8" t="inlineStr">
        <is>
          <t>None</t>
        </is>
      </c>
      <c r="E11" s="8" t="n">
        <v>0</v>
      </c>
      <c r="G11" s="24" t="n">
        <v>1000</v>
      </c>
      <c r="H11" s="27" t="inlineStr">
        <is>
          <t>&gt;&gt;&gt;</t>
        </is>
      </c>
      <c r="I11" t="inlineStr">
        <is>
          <t>If model shows "4.296" but filings show "4,293", use 1000. If none, use =1</t>
        </is>
      </c>
    </row>
    <row r="12">
      <c r="A12" s="7" t="inlineStr">
        <is>
          <t>us-gaap:AccountsReceivableNetCurrent</t>
        </is>
      </c>
      <c r="B12" s="7" t="n">
        <v>44029</v>
      </c>
      <c r="C12" s="7" t="n">
        <v>37420</v>
      </c>
      <c r="D12" s="8" t="inlineStr">
        <is>
          <t>None</t>
        </is>
      </c>
      <c r="E12" s="8" t="n">
        <v>0</v>
      </c>
      <c r="G12" s="23" t="inlineStr">
        <is>
          <t>API Key:</t>
        </is>
      </c>
    </row>
    <row r="13">
      <c r="A13" s="7" t="inlineStr">
        <is>
          <t>us-gaap:AccountsReceivableNetNoncurrent</t>
        </is>
      </c>
      <c r="B13" s="7" t="n">
        <v>4.8</v>
      </c>
      <c r="C13" s="7" t="n">
        <v>4.3</v>
      </c>
      <c r="D13" s="8" t="inlineStr">
        <is>
          <t>None</t>
        </is>
      </c>
      <c r="E13" s="8" t="n">
        <v>1</v>
      </c>
      <c r="G13" s="26" t="inlineStr">
        <is>
          <t>public</t>
        </is>
      </c>
      <c r="H13" s="27" t="inlineStr">
        <is>
          <t>&gt;&gt;&gt;</t>
        </is>
      </c>
      <c r="I13" t="inlineStr">
        <is>
          <t>Use public or register for your personal API key</t>
        </is>
      </c>
    </row>
    <row r="14">
      <c r="A14" s="7" t="inlineStr">
        <is>
          <t>us-gaap:AccruedIncomeTaxesCurrent</t>
        </is>
      </c>
      <c r="B14" s="7" t="n">
        <v>7311</v>
      </c>
      <c r="C14" s="7" t="n">
        <v>4163</v>
      </c>
      <c r="D14" s="8" t="inlineStr">
        <is>
          <t>None</t>
        </is>
      </c>
      <c r="E14" s="8" t="n">
        <v>0</v>
      </c>
      <c r="G14" s="23" t="inlineStr">
        <is>
          <t>Downloads Folder:</t>
        </is>
      </c>
    </row>
    <row r="15">
      <c r="A15" s="7" t="inlineStr">
        <is>
          <t>us-gaap:AccruedIncomeTaxesNoncurrent</t>
        </is>
      </c>
      <c r="B15" s="7" t="n">
        <v>26786</v>
      </c>
      <c r="C15" s="7" t="n">
        <v>25000</v>
      </c>
      <c r="D15" s="8" t="inlineStr">
        <is>
          <t>None</t>
        </is>
      </c>
      <c r="E15" s="8" t="n">
        <v>0</v>
      </c>
      <c r="G15" s="32" t="inlineStr">
        <is>
          <t>/Users/henrychien/downloads</t>
        </is>
      </c>
      <c r="H15" s="27" t="inlineStr">
        <is>
          <t>&gt;&gt;&gt;</t>
        </is>
      </c>
      <c r="I15" t="inlineStr">
        <is>
          <t>Paste full path (i.e. /Users/henrychien/downloads)</t>
        </is>
      </c>
      <c r="J15" s="20" t="inlineStr">
        <is>
          <t xml:space="preserve">  Tip: Right-click &gt; Properties &gt; Location (copy and paste full path) </t>
        </is>
      </c>
    </row>
    <row r="16">
      <c r="A16" s="7" t="inlineStr">
        <is>
          <t>us-gaap:AccruedIncomeTaxesNoncurrent</t>
        </is>
      </c>
      <c r="B16" s="7" t="n">
        <v>23.8</v>
      </c>
      <c r="C16" s="8" t="n">
        <v>18.1</v>
      </c>
      <c r="D16" s="8" t="inlineStr">
        <is>
          <t>None</t>
        </is>
      </c>
      <c r="E16" s="8" t="n">
        <v>1</v>
      </c>
      <c r="G16" s="23" t="inlineStr">
        <is>
          <t>Show Alerts:</t>
        </is>
      </c>
    </row>
    <row r="17">
      <c r="A17" s="7" t="inlineStr">
        <is>
          <t>us-gaap:AccumulatedDepreciationDepletionAndAmortizationPropertyPlantAndEquipment</t>
        </is>
      </c>
      <c r="B17" s="7" t="n">
        <v>74945</v>
      </c>
      <c r="C17" s="8" t="n">
        <v>65998</v>
      </c>
      <c r="D17" s="8" t="inlineStr">
        <is>
          <t>None</t>
        </is>
      </c>
      <c r="E17" s="8" t="n">
        <v>0</v>
      </c>
      <c r="G17" s="25" t="b">
        <v>1</v>
      </c>
      <c r="H17" s="28" t="inlineStr">
        <is>
          <t>&gt;&gt;&gt;</t>
        </is>
      </c>
      <c r="I17" t="inlineStr">
        <is>
          <t>Set to "FALSE" to suppress pop-ups</t>
        </is>
      </c>
    </row>
    <row r="18">
      <c r="A18" s="7" t="inlineStr">
        <is>
          <t>us-gaap:AccumulatedDepreciationDepletionAndAmortizationPropertyPlantAndEquipment</t>
        </is>
      </c>
      <c r="B18" s="7" t="n">
        <v>5865</v>
      </c>
      <c r="C18" s="8" t="n">
        <v>4287</v>
      </c>
      <c r="D18" s="8" t="inlineStr">
        <is>
          <t>None</t>
        </is>
      </c>
      <c r="E18" s="8" t="n">
        <v>0</v>
      </c>
      <c r="G18" s="23" t="inlineStr">
        <is>
          <t>Reverse Mode:</t>
        </is>
      </c>
    </row>
    <row r="19">
      <c r="A19" s="7" t="inlineStr">
        <is>
          <t>us-gaap:AccumulatedOtherComprehensiveIncomeLossNetOfTax</t>
        </is>
      </c>
      <c r="B19" s="7" t="n">
        <v>-5435</v>
      </c>
      <c r="C19" s="8" t="n">
        <v>-5644</v>
      </c>
      <c r="D19" s="8" t="inlineStr">
        <is>
          <t>None</t>
        </is>
      </c>
      <c r="E19" s="8" t="n">
        <v>0</v>
      </c>
      <c r="G19" s="25" t="b">
        <v>0</v>
      </c>
      <c r="H19" s="28" t="inlineStr">
        <is>
          <t>&gt;&gt;&gt;</t>
        </is>
      </c>
      <c r="I19" t="inlineStr">
        <is>
          <t>Set to "True" to update prior year values using current period</t>
        </is>
      </c>
    </row>
    <row r="20">
      <c r="A20" s="7" t="inlineStr">
        <is>
          <t>us-gaap:AllowanceForDoubtfulAccountsReceivableCurrent</t>
        </is>
      </c>
      <c r="B20" s="7" t="n">
        <v>616</v>
      </c>
      <c r="C20" s="8" t="n">
        <v>495</v>
      </c>
      <c r="D20" s="8" t="inlineStr">
        <is>
          <t>None</t>
        </is>
      </c>
      <c r="E20" s="8" t="n">
        <v>0</v>
      </c>
    </row>
    <row r="21">
      <c r="A21" s="7" t="inlineStr">
        <is>
          <t>us-gaap:Assets</t>
        </is>
      </c>
      <c r="B21" s="7" t="n">
        <v>484275</v>
      </c>
      <c r="C21" s="8" t="n">
        <v>380088</v>
      </c>
      <c r="D21" s="8" t="inlineStr">
        <is>
          <t>None</t>
        </is>
      </c>
      <c r="E21" s="8" t="n">
        <v>0</v>
      </c>
      <c r="G21" s="29" t="inlineStr">
        <is>
          <t>Collision Rate - % of values flagged for review</t>
        </is>
      </c>
      <c r="H21" s="27" t="inlineStr">
        <is>
          <t>&gt;&gt;&gt;</t>
        </is>
      </c>
      <c r="I21" s="20" t="inlineStr">
        <is>
          <t>Ambiguous matches from restatements, tagging changes, etc.</t>
        </is>
      </c>
    </row>
    <row r="22">
      <c r="A22" s="7" t="inlineStr">
        <is>
          <t>us-gaap:AssetsCurrent</t>
        </is>
      </c>
      <c r="B22" s="7" t="n">
        <v>147180</v>
      </c>
      <c r="C22" s="8" t="n">
        <v>163889</v>
      </c>
      <c r="D22" s="8" t="inlineStr">
        <is>
          <t>None</t>
        </is>
      </c>
      <c r="E22" s="8" t="n">
        <v>0</v>
      </c>
      <c r="G22" s="30">
        <f>COUNTIF(E2:E5000, 1)/COUNTA(C2:C5000)</f>
        <v/>
      </c>
    </row>
    <row r="23">
      <c r="A23" s="7" t="inlineStr">
        <is>
          <t>us-gaap:AvailableForSaleDebtSecuritiesAccumulatedGrossUnrealizedGainBeforeTax</t>
        </is>
      </c>
      <c r="B23" s="7" t="n">
        <v>0</v>
      </c>
      <c r="C23" s="8" t="n">
        <v>0</v>
      </c>
      <c r="D23" s="8" t="inlineStr">
        <is>
          <t>None</t>
        </is>
      </c>
      <c r="E23" s="8" t="n">
        <v>1</v>
      </c>
      <c r="G23" s="5" t="n"/>
      <c r="H23" s="27" t="n"/>
    </row>
    <row r="24">
      <c r="A24" s="7" t="inlineStr">
        <is>
          <t>us-gaap:AvailableForSaleDebtSecuritiesAccumulatedGrossUnrealizedGainBeforeTax</t>
        </is>
      </c>
      <c r="B24" s="7" t="n">
        <v>3</v>
      </c>
      <c r="C24" s="8" t="n">
        <v>1</v>
      </c>
      <c r="D24" s="8" t="inlineStr">
        <is>
          <t>None</t>
        </is>
      </c>
      <c r="E24" s="8" t="n">
        <v>1</v>
      </c>
      <c r="G24" s="8" t="n"/>
    </row>
    <row r="25">
      <c r="A25" s="7" t="inlineStr">
        <is>
          <t>us-gaap:AvailableForSaleDebtSecuritiesAccumulatedGrossUnrealizedGainBeforeTax</t>
        </is>
      </c>
      <c r="B25" s="7" t="n">
        <v>0</v>
      </c>
      <c r="C25" s="8" t="n">
        <v>1</v>
      </c>
      <c r="D25" s="8" t="inlineStr">
        <is>
          <t>None</t>
        </is>
      </c>
      <c r="E25" s="8" t="n">
        <v>1</v>
      </c>
    </row>
    <row r="26">
      <c r="A26" s="7" t="inlineStr">
        <is>
          <t>us-gaap:AvailableForSaleDebtSecuritiesAccumulatedGrossUnrealizedGainBeforeTax</t>
        </is>
      </c>
      <c r="B26" s="7" t="n">
        <v>4</v>
      </c>
      <c r="C26" s="7" t="n">
        <v>1</v>
      </c>
      <c r="D26" s="8" t="inlineStr">
        <is>
          <t>None</t>
        </is>
      </c>
      <c r="E26" s="8" t="n">
        <v>1</v>
      </c>
    </row>
    <row r="27">
      <c r="A27" s="7" t="inlineStr">
        <is>
          <t>us-gaap:AvailableForSaleDebtSecuritiesAccumulatedGrossUnrealizedGainBeforeTax</t>
        </is>
      </c>
      <c r="B27" s="7" t="n">
        <v>40</v>
      </c>
      <c r="C27" s="7" t="n">
        <v>18</v>
      </c>
      <c r="D27" s="8" t="inlineStr">
        <is>
          <t>None</t>
        </is>
      </c>
      <c r="E27" s="8" t="n">
        <v>1</v>
      </c>
    </row>
    <row r="28">
      <c r="A28" s="7" t="inlineStr">
        <is>
          <t>us-gaap:AvailableForSaleDebtSecuritiesAccumulatedGrossUnrealizedGainBeforeTax</t>
        </is>
      </c>
      <c r="B28" s="7" t="n">
        <v>1</v>
      </c>
      <c r="C28" s="7" t="n">
        <v>13</v>
      </c>
      <c r="D28" s="8" t="inlineStr">
        <is>
          <t>None</t>
        </is>
      </c>
      <c r="E28" s="8" t="n">
        <v>1</v>
      </c>
    </row>
    <row r="29">
      <c r="A29" s="7" t="inlineStr">
        <is>
          <t>us-gaap:AvailableForSaleDebtSecuritiesAccumulatedGrossUnrealizedGainBeforeTax</t>
        </is>
      </c>
      <c r="B29" s="7" t="n">
        <v>52</v>
      </c>
      <c r="C29" s="7" t="n">
        <v>35</v>
      </c>
      <c r="D29" s="8" t="inlineStr">
        <is>
          <t>None</t>
        </is>
      </c>
      <c r="E29" s="8" t="n">
        <v>1</v>
      </c>
    </row>
    <row r="30">
      <c r="A30" s="7" t="inlineStr">
        <is>
          <t>us-gaap:AvailableForSaleDebtSecuritiesAccumulatedGrossUnrealizedLossBeforeTax</t>
        </is>
      </c>
      <c r="B30" s="7" t="n">
        <v>3074</v>
      </c>
      <c r="C30" s="7" t="n">
        <v>3169</v>
      </c>
      <c r="D30" s="8" t="inlineStr">
        <is>
          <t>None</t>
        </is>
      </c>
      <c r="E30" s="8" t="n">
        <v>1</v>
      </c>
    </row>
    <row r="31">
      <c r="A31" s="7" t="inlineStr">
        <is>
          <t>us-gaap:AvailableForSaleDebtSecuritiesAccumulatedGrossUnrealizedLossBeforeTax</t>
        </is>
      </c>
      <c r="B31" s="7" t="n">
        <v>0</v>
      </c>
      <c r="C31" s="7" t="n">
        <v>2</v>
      </c>
      <c r="D31" s="8" t="inlineStr">
        <is>
          <t>None</t>
        </is>
      </c>
      <c r="E31" s="8" t="n">
        <v>1</v>
      </c>
    </row>
    <row r="32">
      <c r="A32" s="7" t="inlineStr">
        <is>
          <t>us-gaap:AvailableForSaleDebtSecuritiesAccumulatedGrossUnrealizedLossBeforeTax</t>
        </is>
      </c>
      <c r="B32" s="7" t="n">
        <v>12</v>
      </c>
      <c r="C32" s="7" t="n">
        <v>23</v>
      </c>
      <c r="D32" s="8" t="inlineStr">
        <is>
          <t>None</t>
        </is>
      </c>
      <c r="E32" s="8" t="n">
        <v>1</v>
      </c>
    </row>
    <row r="33">
      <c r="A33" s="7" t="inlineStr">
        <is>
          <t>us-gaap:AvailableForSaleDebtSecuritiesAccumulatedGrossUnrealizedLossBeforeTax</t>
        </is>
      </c>
      <c r="B33" s="7" t="n">
        <v>34</v>
      </c>
      <c r="C33" s="7" t="n">
        <v>36</v>
      </c>
      <c r="D33" s="8" t="inlineStr">
        <is>
          <t>None</t>
        </is>
      </c>
      <c r="E33" s="8" t="n">
        <v>0</v>
      </c>
    </row>
    <row r="34">
      <c r="A34" s="7" t="inlineStr">
        <is>
          <t>us-gaap:AvailableForSaleDebtSecuritiesAccumulatedGrossUnrealizedLossBeforeTax</t>
        </is>
      </c>
      <c r="B34" s="7" t="n">
        <v>340</v>
      </c>
      <c r="C34" s="7" t="n">
        <v>552</v>
      </c>
      <c r="D34" s="8" t="inlineStr">
        <is>
          <t>None</t>
        </is>
      </c>
      <c r="E34" s="8" t="n">
        <v>1</v>
      </c>
      <c r="I34" s="27" t="n"/>
      <c r="J34" s="3" t="n"/>
    </row>
    <row r="35">
      <c r="A35" s="7" t="inlineStr">
        <is>
          <t>us-gaap:AvailableForSaleDebtSecuritiesAccumulatedGrossUnrealizedLossBeforeTax</t>
        </is>
      </c>
      <c r="B35" s="7" t="n">
        <v>1</v>
      </c>
      <c r="C35" s="8" t="n">
        <v>0</v>
      </c>
      <c r="D35" s="8" t="inlineStr">
        <is>
          <t>None</t>
        </is>
      </c>
      <c r="E35" s="8" t="n">
        <v>1</v>
      </c>
      <c r="I35" s="27" t="n"/>
    </row>
    <row r="36">
      <c r="A36" s="7" t="inlineStr">
        <is>
          <t>us-gaap:AvailableForSaleDebtSecuritiesAccumulatedGrossUnrealizedLossBeforeTax</t>
        </is>
      </c>
      <c r="B36" s="7" t="n">
        <v>14</v>
      </c>
      <c r="C36" s="7" t="n">
        <v>15</v>
      </c>
      <c r="D36" s="8" t="inlineStr">
        <is>
          <t>None</t>
        </is>
      </c>
      <c r="E36" s="8" t="n">
        <v>1</v>
      </c>
      <c r="I36" s="27" t="n"/>
      <c r="J36" s="3" t="n"/>
    </row>
    <row r="37">
      <c r="A37" s="7" t="inlineStr">
        <is>
          <t>us-gaap:AvailableForSaleDebtSecuritiesAccumulatedGrossUnrealizedLossBeforeTax</t>
        </is>
      </c>
      <c r="B37" s="7" t="n">
        <v>16</v>
      </c>
      <c r="C37" s="7" t="n">
        <v>7</v>
      </c>
      <c r="D37" s="8" t="inlineStr">
        <is>
          <t>None</t>
        </is>
      </c>
      <c r="E37" s="8" t="n">
        <v>0</v>
      </c>
      <c r="I37" s="27" t="n"/>
    </row>
    <row r="38">
      <c r="A38" s="7" t="inlineStr">
        <is>
          <t>us-gaap:AvailableForSaleDebtSecuritiesAccumulatedGrossUnrealizedLossBeforeTax</t>
        </is>
      </c>
      <c r="B38" s="7" t="n">
        <v>3491</v>
      </c>
      <c r="C38" s="7" t="n">
        <v>3804</v>
      </c>
      <c r="D38" s="8" t="inlineStr">
        <is>
          <t>None</t>
        </is>
      </c>
      <c r="E38" s="8" t="n">
        <v>0</v>
      </c>
    </row>
    <row r="39">
      <c r="A39" s="7" t="inlineStr">
        <is>
          <t>us-gaap:AvailableForSaleDebtSecuritiesAmortizedCostBasis</t>
        </is>
      </c>
      <c r="B39" s="7" t="n">
        <v>5535</v>
      </c>
      <c r="C39" s="7" t="n">
        <v>9853</v>
      </c>
      <c r="D39" s="8" t="inlineStr">
        <is>
          <t>None</t>
        </is>
      </c>
      <c r="E39" s="8" t="n">
        <v>1</v>
      </c>
    </row>
    <row r="40">
      <c r="A40" s="7" t="inlineStr">
        <is>
          <t>us-gaap:AvailableForSaleDebtSecuritiesAmortizedCostBasis</t>
        </is>
      </c>
      <c r="B40" s="7" t="n">
        <v>2300</v>
      </c>
      <c r="C40" s="7" t="n">
        <v>2229</v>
      </c>
      <c r="D40" s="8" t="inlineStr">
        <is>
          <t>None</t>
        </is>
      </c>
      <c r="E40" s="8" t="n">
        <v>0</v>
      </c>
    </row>
    <row r="41">
      <c r="A41" s="7" t="inlineStr">
        <is>
          <t>us-gaap:AvailableForSaleDebtSecuritiesAmortizedCostBasis</t>
        </is>
      </c>
      <c r="B41" s="7" t="n">
        <v>52036</v>
      </c>
      <c r="C41" s="7" t="n">
        <v>66318</v>
      </c>
      <c r="D41" s="8" t="inlineStr">
        <is>
          <t>None</t>
        </is>
      </c>
      <c r="E41" s="8" t="n">
        <v>0</v>
      </c>
    </row>
    <row r="42">
      <c r="A42" s="7" t="inlineStr">
        <is>
          <t>us-gaap:AvailableForSaleDebtSecuritiesAmortizedCostBasis</t>
        </is>
      </c>
      <c r="B42" s="7" t="n">
        <v>23</v>
      </c>
      <c r="C42" s="7" t="n">
        <v>7469</v>
      </c>
      <c r="D42" s="8" t="inlineStr">
        <is>
          <t>None</t>
        </is>
      </c>
      <c r="E42" s="8" t="n">
        <v>1</v>
      </c>
    </row>
    <row r="43">
      <c r="A43" s="7" t="inlineStr">
        <is>
          <t>us-gaap:AvailableForSaleDebtSecuritiesAmortizedCostBasis</t>
        </is>
      </c>
      <c r="B43" s="7" t="n">
        <v>352</v>
      </c>
      <c r="C43" s="7" t="n">
        <v>512</v>
      </c>
      <c r="D43" s="8" t="inlineStr">
        <is>
          <t>None</t>
        </is>
      </c>
      <c r="E43" s="8" t="n">
        <v>0</v>
      </c>
    </row>
    <row r="44">
      <c r="A44" s="7" t="inlineStr">
        <is>
          <t>us-gaap:AvailableForSaleDebtSecuritiesAmortizedCostBasis</t>
        </is>
      </c>
      <c r="B44" s="7" t="n">
        <v>980</v>
      </c>
      <c r="C44" s="7" t="n">
        <v>767</v>
      </c>
      <c r="D44" s="8" t="inlineStr">
        <is>
          <t>None</t>
        </is>
      </c>
      <c r="E44" s="8" t="n">
        <v>0</v>
      </c>
    </row>
    <row r="45">
      <c r="A45" s="7" t="inlineStr">
        <is>
          <t>us-gaap:AvailableForSaleDebtSecuritiesAmortizedCostBasis</t>
        </is>
      </c>
      <c r="B45" s="7" t="n">
        <v>9874</v>
      </c>
      <c r="C45" s="8" t="n">
        <v>10963</v>
      </c>
      <c r="D45" s="8" t="inlineStr">
        <is>
          <t>None</t>
        </is>
      </c>
      <c r="E45" s="8" t="n">
        <v>0</v>
      </c>
    </row>
    <row r="46">
      <c r="A46" s="7" t="inlineStr">
        <is>
          <t>us-gaap:AvailableForSaleDebtSecuritiesAmortizedCostBasis</t>
        </is>
      </c>
      <c r="B46" s="7" t="n">
        <v>1646</v>
      </c>
      <c r="C46" s="8" t="n">
        <v>118</v>
      </c>
      <c r="D46" s="8" t="inlineStr">
        <is>
          <t>None</t>
        </is>
      </c>
      <c r="E46" s="8" t="n">
        <v>1</v>
      </c>
    </row>
    <row r="47">
      <c r="A47" s="7" t="inlineStr">
        <is>
          <t>us-gaap:AvailableForSaleDebtSecuritiesAmortizedCostBasis</t>
        </is>
      </c>
      <c r="B47" s="7" t="n">
        <v>263</v>
      </c>
      <c r="C47" s="8" t="n">
        <v>367</v>
      </c>
      <c r="D47" s="8" t="inlineStr">
        <is>
          <t>None</t>
        </is>
      </c>
      <c r="E47" s="8" t="n">
        <v>0</v>
      </c>
    </row>
    <row r="48">
      <c r="A48" s="7" t="inlineStr">
        <is>
          <t>us-gaap:AvailableForSaleDebtSecuritiesAmortizedCostBasis</t>
        </is>
      </c>
      <c r="B48" s="7" t="n">
        <v>104</v>
      </c>
      <c r="C48" s="8" t="n">
        <v>104</v>
      </c>
      <c r="D48" s="8" t="inlineStr">
        <is>
          <t>None</t>
        </is>
      </c>
      <c r="E48" s="8" t="n">
        <v>0</v>
      </c>
    </row>
    <row r="49">
      <c r="A49" s="7" t="inlineStr">
        <is>
          <t>us-gaap:AvailableForSaleDebtSecuritiesAmortizedCostBasis</t>
        </is>
      </c>
      <c r="B49" s="7" t="n">
        <v>73113</v>
      </c>
      <c r="C49" s="8" t="n">
        <v>98700</v>
      </c>
      <c r="D49" s="8" t="inlineStr">
        <is>
          <t>None</t>
        </is>
      </c>
      <c r="E49" s="8" t="n">
        <v>0</v>
      </c>
    </row>
    <row r="50">
      <c r="A50" s="7" t="inlineStr">
        <is>
          <t>us-gaap:AvailableForSaleSecuritiesDebtMaturitiesNextRollingTwelveMonthsAmortizedCostBasis</t>
        </is>
      </c>
      <c r="B50" s="7" t="n">
        <v>19613</v>
      </c>
      <c r="C50" s="8" t="n">
        <v>34947</v>
      </c>
      <c r="D50" s="8" t="inlineStr">
        <is>
          <t>None</t>
        </is>
      </c>
      <c r="E50" s="8" t="n">
        <v>0</v>
      </c>
    </row>
    <row r="51">
      <c r="A51" s="7" t="inlineStr">
        <is>
          <t>us-gaap:AvailableForSaleSecuritiesDebtMaturitiesNextRollingTwelveMonthsFairValue</t>
        </is>
      </c>
      <c r="B51" s="7" t="n">
        <v>19428</v>
      </c>
      <c r="C51" s="7" t="n">
        <v>34805</v>
      </c>
      <c r="D51" s="8" t="inlineStr">
        <is>
          <t>None</t>
        </is>
      </c>
      <c r="E51" s="8" t="n">
        <v>0</v>
      </c>
    </row>
    <row r="52">
      <c r="A52" s="7" t="inlineStr">
        <is>
          <t>us-gaap:AvailableForSaleSecuritiesDebtMaturitiesRollingAfterYearTenAmortizedCostBasis</t>
        </is>
      </c>
      <c r="B52" s="7" t="n">
        <v>1385</v>
      </c>
      <c r="C52" s="8" t="n">
        <v>1373</v>
      </c>
      <c r="D52" s="8" t="inlineStr">
        <is>
          <t>None</t>
        </is>
      </c>
      <c r="E52" s="8" t="n">
        <v>0</v>
      </c>
    </row>
    <row r="53">
      <c r="A53" s="7" t="inlineStr">
        <is>
          <t>us-gaap:AvailableForSaleSecuritiesDebtMaturitiesRollingAfterYearTenFairValue</t>
        </is>
      </c>
      <c r="B53" s="7" t="n">
        <v>1266</v>
      </c>
      <c r="C53" s="7" t="n">
        <v>1260</v>
      </c>
      <c r="D53" s="8" t="inlineStr">
        <is>
          <t>None</t>
        </is>
      </c>
      <c r="E53" s="8" t="n">
        <v>0</v>
      </c>
    </row>
    <row r="54">
      <c r="A54" s="7" t="inlineStr">
        <is>
          <t>us-gaap:AvailableForSaleSecuritiesDebtMaturitiesRollingYearSixThroughTenAmortizedCostBasis</t>
        </is>
      </c>
      <c r="B54" s="7" t="n">
        <v>9230</v>
      </c>
      <c r="C54" s="7" t="n">
        <v>14143</v>
      </c>
      <c r="D54" s="8" t="inlineStr">
        <is>
          <t>None</t>
        </is>
      </c>
      <c r="E54" s="8" t="n">
        <v>0</v>
      </c>
    </row>
    <row r="55">
      <c r="A55" s="7" t="inlineStr">
        <is>
          <t>us-gaap:AvailableForSaleSecuritiesDebtMaturitiesRollingYearSixThroughTenFairValue</t>
        </is>
      </c>
      <c r="B55" s="7" t="n">
        <v>8304</v>
      </c>
      <c r="C55" s="8" t="n">
        <v>12698</v>
      </c>
      <c r="D55" s="8" t="inlineStr">
        <is>
          <t>None</t>
        </is>
      </c>
      <c r="E55" s="8" t="n">
        <v>0</v>
      </c>
    </row>
    <row r="56">
      <c r="A56" s="7" t="inlineStr">
        <is>
          <t>us-gaap:AvailableForSaleSecuritiesDebtMaturitiesRollingYearTwoThroughFiveAmortizedCostBasis</t>
        </is>
      </c>
      <c r="B56" s="7" t="n">
        <v>42885</v>
      </c>
      <c r="C56" s="7" t="n">
        <v>48237</v>
      </c>
      <c r="D56" s="8" t="inlineStr">
        <is>
          <t>None</t>
        </is>
      </c>
      <c r="E56" s="8" t="n">
        <v>0</v>
      </c>
    </row>
    <row r="57">
      <c r="A57" s="7" t="inlineStr">
        <is>
          <t>us-gaap:AvailableForSaleSecuritiesDebtMaturitiesRollingYearTwoThroughFiveFairValue</t>
        </is>
      </c>
      <c r="B57" s="7" t="n">
        <v>40676</v>
      </c>
      <c r="C57" s="7" t="n">
        <v>46168</v>
      </c>
      <c r="D57" s="8" t="inlineStr">
        <is>
          <t>None</t>
        </is>
      </c>
      <c r="E57" s="8" t="n">
        <v>0</v>
      </c>
    </row>
    <row r="58">
      <c r="A58" s="7" t="inlineStr">
        <is>
          <t>us-gaap:AvailableForSaleSecuritiesDebtSecurities</t>
        </is>
      </c>
      <c r="B58" s="7" t="n">
        <v>48965</v>
      </c>
      <c r="C58" s="7" t="n">
        <v>63150</v>
      </c>
      <c r="D58" s="8" t="inlineStr">
        <is>
          <t>None</t>
        </is>
      </c>
      <c r="E58" s="8" t="n">
        <v>0</v>
      </c>
    </row>
    <row r="59">
      <c r="A59" s="7" t="inlineStr">
        <is>
          <t>us-gaap:AvailableForSaleSecuritiesDebtSecurities</t>
        </is>
      </c>
      <c r="B59" s="7" t="n">
        <v>23</v>
      </c>
      <c r="C59" s="7" t="n">
        <v>7468</v>
      </c>
      <c r="D59" s="8" t="inlineStr">
        <is>
          <t>None</t>
        </is>
      </c>
      <c r="E59" s="8" t="n">
        <v>1</v>
      </c>
    </row>
    <row r="60">
      <c r="A60" s="7" t="inlineStr">
        <is>
          <t>us-gaap:AvailableForSaleSecuritiesDebtSecurities</t>
        </is>
      </c>
      <c r="B60" s="7" t="n">
        <v>344</v>
      </c>
      <c r="C60" s="7" t="n">
        <v>490</v>
      </c>
      <c r="D60" s="8" t="inlineStr">
        <is>
          <t>None</t>
        </is>
      </c>
      <c r="E60" s="8" t="n">
        <v>1</v>
      </c>
    </row>
    <row r="61">
      <c r="A61" s="7" t="inlineStr">
        <is>
          <t>us-gaap:AvailableForSaleSecuritiesDebtSecurities</t>
        </is>
      </c>
      <c r="B61" s="7" t="n">
        <v>950</v>
      </c>
      <c r="C61" s="7" t="n">
        <v>732</v>
      </c>
      <c r="D61" s="8" t="inlineStr">
        <is>
          <t>None</t>
        </is>
      </c>
      <c r="E61" s="8" t="n">
        <v>1</v>
      </c>
    </row>
    <row r="62">
      <c r="A62" s="7" t="inlineStr">
        <is>
          <t>us-gaap:AvailableForSaleSecuritiesDebtSecurities</t>
        </is>
      </c>
      <c r="B62" s="7" t="n">
        <v>9574</v>
      </c>
      <c r="C62" s="7" t="n">
        <v>10429</v>
      </c>
      <c r="D62" s="8" t="inlineStr">
        <is>
          <t>None</t>
        </is>
      </c>
      <c r="E62" s="8" t="n">
        <v>1</v>
      </c>
    </row>
    <row r="63">
      <c r="A63" s="7" t="inlineStr">
        <is>
          <t>us-gaap:AvailableForSaleSecuritiesDebtSecurities</t>
        </is>
      </c>
      <c r="B63" s="7" t="n">
        <v>1645</v>
      </c>
      <c r="C63" s="7" t="n">
        <v>118</v>
      </c>
      <c r="D63" s="8" t="inlineStr">
        <is>
          <t>None</t>
        </is>
      </c>
      <c r="E63" s="8" t="n">
        <v>1</v>
      </c>
    </row>
    <row r="64">
      <c r="A64" s="7" t="inlineStr">
        <is>
          <t>us-gaap:AvailableForSaleSecuritiesDebtSecurities</t>
        </is>
      </c>
      <c r="B64" s="7" t="n">
        <v>250</v>
      </c>
      <c r="C64" s="8" t="n">
        <v>365</v>
      </c>
      <c r="D64" s="8" t="inlineStr">
        <is>
          <t>None</t>
        </is>
      </c>
      <c r="E64" s="8" t="n">
        <v>1</v>
      </c>
    </row>
    <row r="65">
      <c r="A65" s="7" t="inlineStr">
        <is>
          <t>us-gaap:AvailableForSaleSecuritiesDebtSecurities</t>
        </is>
      </c>
      <c r="B65" s="7" t="n">
        <v>88</v>
      </c>
      <c r="C65" s="7" t="n">
        <v>97</v>
      </c>
      <c r="D65" s="8" t="inlineStr">
        <is>
          <t>None</t>
        </is>
      </c>
      <c r="E65" s="8" t="n">
        <v>1</v>
      </c>
    </row>
    <row r="66">
      <c r="A66" s="7" t="inlineStr">
        <is>
          <t>us-gaap:AvailableForSaleSecuritiesDebtSecurities</t>
        </is>
      </c>
      <c r="B66" s="7" t="n">
        <v>69674</v>
      </c>
      <c r="C66" s="7" t="n">
        <v>94931</v>
      </c>
      <c r="D66" s="8" t="inlineStr">
        <is>
          <t>None</t>
        </is>
      </c>
      <c r="E66" s="8" t="n">
        <v>0</v>
      </c>
    </row>
    <row r="67">
      <c r="A67" s="7" t="inlineStr">
        <is>
          <t>us-gaap:Cash</t>
        </is>
      </c>
      <c r="B67" s="7" t="n">
        <v>11581</v>
      </c>
      <c r="C67" s="7" t="n">
        <v>8509</v>
      </c>
      <c r="D67" s="8" t="inlineStr">
        <is>
          <t>None</t>
        </is>
      </c>
      <c r="E67" s="8" t="n">
        <v>0</v>
      </c>
    </row>
    <row r="68">
      <c r="A68" s="7" t="inlineStr">
        <is>
          <t>us-gaap:CashAndCashEquivalentsAtCarryingValue</t>
        </is>
      </c>
      <c r="B68" s="7" t="n">
        <v>19634</v>
      </c>
      <c r="C68" s="7" t="n">
        <v>26562</v>
      </c>
      <c r="D68" s="8" t="inlineStr">
        <is>
          <t>None</t>
        </is>
      </c>
      <c r="E68" s="8" t="n">
        <v>0</v>
      </c>
    </row>
    <row r="69">
      <c r="A69" s="7" t="inlineStr">
        <is>
          <t>us-gaap:CashAndCashEquivalentsAtCarryingValue</t>
        </is>
      </c>
      <c r="B69" s="7" t="n">
        <v>5535</v>
      </c>
      <c r="C69" s="7" t="n">
        <v>9207</v>
      </c>
      <c r="D69" s="8" t="inlineStr">
        <is>
          <t>None</t>
        </is>
      </c>
      <c r="E69" s="8" t="n">
        <v>1</v>
      </c>
    </row>
    <row r="70">
      <c r="A70" s="7" t="inlineStr">
        <is>
          <t>us-gaap:CashAndCashEquivalentsAtCarryingValue</t>
        </is>
      </c>
      <c r="B70" s="7" t="n">
        <v>2256</v>
      </c>
      <c r="C70" s="7" t="n">
        <v>2185</v>
      </c>
      <c r="D70" s="8" t="inlineStr">
        <is>
          <t>None</t>
        </is>
      </c>
      <c r="E70" s="8" t="n">
        <v>0</v>
      </c>
    </row>
    <row r="71">
      <c r="A71" s="7" t="inlineStr">
        <is>
          <t>us-gaap:CashAndCashEquivalentsAtCarryingValue</t>
        </is>
      </c>
      <c r="B71" s="7" t="n">
        <v>4</v>
      </c>
      <c r="C71" s="7" t="n">
        <v>1550</v>
      </c>
      <c r="D71" s="8" t="inlineStr">
        <is>
          <t>None</t>
        </is>
      </c>
      <c r="E71" s="8" t="n">
        <v>1</v>
      </c>
    </row>
    <row r="72">
      <c r="A72" s="7" t="inlineStr">
        <is>
          <t>us-gaap:CashAndCashEquivalentsAtCarryingValue</t>
        </is>
      </c>
      <c r="B72" s="7" t="n">
        <v>0</v>
      </c>
      <c r="C72" s="7" t="n">
        <v>4127</v>
      </c>
      <c r="D72" s="8" t="inlineStr">
        <is>
          <t>None</t>
        </is>
      </c>
      <c r="E72" s="8" t="n">
        <v>1</v>
      </c>
    </row>
    <row r="73">
      <c r="A73" s="7" t="inlineStr">
        <is>
          <t>us-gaap:CashAndCashEquivalentsAtCarryingValue</t>
        </is>
      </c>
      <c r="B73" s="7" t="n">
        <v>0</v>
      </c>
      <c r="C73" s="7" t="n">
        <v>5</v>
      </c>
      <c r="D73" s="8" t="inlineStr">
        <is>
          <t>None</t>
        </is>
      </c>
      <c r="E73" s="8" t="n">
        <v>1</v>
      </c>
    </row>
    <row r="74">
      <c r="A74" s="7" t="inlineStr">
        <is>
          <t>us-gaap:CashAndCashEquivalentsAtCarryingValue</t>
        </is>
      </c>
      <c r="B74" s="7" t="n">
        <v>7795</v>
      </c>
      <c r="C74" s="7" t="n">
        <v>17074</v>
      </c>
      <c r="D74" s="8" t="inlineStr">
        <is>
          <t>None</t>
        </is>
      </c>
      <c r="E74" s="8" t="n">
        <v>0</v>
      </c>
    </row>
    <row r="75">
      <c r="A75" s="7" t="inlineStr">
        <is>
          <t>us-gaap:CashAndCashEquivalentsAtCarryingValue</t>
        </is>
      </c>
      <c r="B75" s="7" t="n">
        <v>258</v>
      </c>
      <c r="C75" s="7" t="n">
        <v>979</v>
      </c>
      <c r="D75" s="8" t="inlineStr">
        <is>
          <t>None</t>
        </is>
      </c>
      <c r="E75" s="8" t="n">
        <v>0</v>
      </c>
    </row>
    <row r="76">
      <c r="A76" s="7" t="inlineStr">
        <is>
          <t>us-gaap:CashCashEquivalentsAndShortTermInvestments</t>
        </is>
      </c>
      <c r="B76" s="7" t="n">
        <v>80021</v>
      </c>
      <c r="C76" s="7" t="n">
        <v>104427</v>
      </c>
      <c r="D76" s="8" t="inlineStr">
        <is>
          <t>None</t>
        </is>
      </c>
      <c r="E76" s="8" t="n">
        <v>0</v>
      </c>
    </row>
    <row r="77">
      <c r="A77" s="7" t="inlineStr">
        <is>
          <t>us-gaap:CommonStockSharesAuthorized</t>
        </is>
      </c>
      <c r="B77" s="7" t="n">
        <v>24000</v>
      </c>
      <c r="C77" s="7" t="n">
        <v>24000</v>
      </c>
      <c r="D77" s="8" t="inlineStr">
        <is>
          <t>None</t>
        </is>
      </c>
      <c r="E77" s="8" t="n">
        <v>0</v>
      </c>
    </row>
    <row r="78">
      <c r="A78" s="7" t="inlineStr">
        <is>
          <t>us-gaap:CommonStockSharesOutstanding</t>
        </is>
      </c>
      <c r="B78" s="7" t="n">
        <v>7433</v>
      </c>
      <c r="C78" s="7" t="n">
        <v>7437</v>
      </c>
      <c r="D78" s="8" t="inlineStr">
        <is>
          <t>None</t>
        </is>
      </c>
      <c r="E78" s="8" t="n">
        <v>0</v>
      </c>
    </row>
    <row r="79">
      <c r="A79" s="7" t="inlineStr">
        <is>
          <t>us-gaap:CommonStocksIncludingAdditionalPaidInCapital</t>
        </is>
      </c>
      <c r="B79" s="7" t="n">
        <v>99193</v>
      </c>
      <c r="C79" s="8" t="n">
        <v>92093</v>
      </c>
      <c r="D79" s="8" t="inlineStr">
        <is>
          <t>None</t>
        </is>
      </c>
      <c r="E79" s="8" t="n">
        <v>0</v>
      </c>
    </row>
    <row r="80">
      <c r="A80" s="7" t="inlineStr">
        <is>
          <t>us-gaap:ContractWithCustomerLiability</t>
        </is>
      </c>
      <c r="B80" s="7" t="n">
        <v>22929</v>
      </c>
      <c r="C80" s="8" t="n">
        <v>20504</v>
      </c>
      <c r="D80" s="8" t="inlineStr">
        <is>
          <t>None</t>
        </is>
      </c>
      <c r="E80" s="8" t="n">
        <v>0</v>
      </c>
    </row>
    <row r="81">
      <c r="A81" s="7" t="inlineStr">
        <is>
          <t>us-gaap:ContractWithCustomerLiability</t>
        </is>
      </c>
      <c r="B81" s="7" t="n">
        <v>16696</v>
      </c>
      <c r="C81" s="7" t="n">
        <v>15552</v>
      </c>
      <c r="D81" s="8" t="inlineStr">
        <is>
          <t>None</t>
        </is>
      </c>
      <c r="E81" s="8" t="n">
        <v>0</v>
      </c>
    </row>
    <row r="82">
      <c r="A82" s="7" t="inlineStr">
        <is>
          <t>us-gaap:ContractWithCustomerLiability</t>
        </is>
      </c>
      <c r="B82" s="7" t="n">
        <v>5208</v>
      </c>
      <c r="C82" s="8" t="n">
        <v>3545</v>
      </c>
      <c r="D82" s="8" t="inlineStr">
        <is>
          <t>None</t>
        </is>
      </c>
      <c r="E82" s="8" t="n">
        <v>0</v>
      </c>
    </row>
    <row r="83">
      <c r="A83" s="7" t="inlineStr">
        <is>
          <t>us-gaap:ContractWithCustomerLiability</t>
        </is>
      </c>
      <c r="B83" s="7" t="n">
        <v>44833</v>
      </c>
      <c r="C83" s="7" t="n">
        <v>39601</v>
      </c>
      <c r="D83" s="8" t="inlineStr">
        <is>
          <t>None</t>
        </is>
      </c>
      <c r="E83" s="8" t="n">
        <v>0</v>
      </c>
    </row>
    <row r="84">
      <c r="A84" s="7" t="inlineStr">
        <is>
          <t>us-gaap:ContractWithCustomerLiabilityCurrent</t>
        </is>
      </c>
      <c r="B84" s="7" t="n">
        <v>41888</v>
      </c>
      <c r="C84" s="7" t="n">
        <v>36903</v>
      </c>
      <c r="D84" s="8" t="inlineStr">
        <is>
          <t>None</t>
        </is>
      </c>
      <c r="E84" s="8" t="n">
        <v>0</v>
      </c>
    </row>
    <row r="85">
      <c r="A85" s="7" t="inlineStr">
        <is>
          <t>us-gaap:ContractWithCustomerLiabilityNoncurrent</t>
        </is>
      </c>
      <c r="B85" s="7" t="n">
        <v>2945</v>
      </c>
      <c r="C85" s="7" t="n">
        <v>2698</v>
      </c>
      <c r="D85" s="8" t="inlineStr">
        <is>
          <t>None</t>
        </is>
      </c>
      <c r="E85" s="8" t="n">
        <v>1</v>
      </c>
    </row>
    <row r="86">
      <c r="A86" s="7" t="inlineStr">
        <is>
          <t>us-gaap:DebtInstrumentCarryingAmount</t>
        </is>
      </c>
      <c r="B86" s="7" t="n">
        <v>520</v>
      </c>
      <c r="C86" s="7" t="n">
        <v>520</v>
      </c>
      <c r="D86" s="8" t="inlineStr">
        <is>
          <t>None</t>
        </is>
      </c>
      <c r="E86" s="8" t="n">
        <v>1</v>
      </c>
    </row>
    <row r="87">
      <c r="A87" s="7" t="inlineStr">
        <is>
          <t>us-gaap:DebtInstrumentCarryingAmount</t>
        </is>
      </c>
      <c r="B87" s="7" t="n">
        <v>486</v>
      </c>
      <c r="C87" s="7" t="n">
        <v>486</v>
      </c>
      <c r="D87" s="8" t="inlineStr">
        <is>
          <t>None</t>
        </is>
      </c>
      <c r="E87" s="8" t="n">
        <v>0</v>
      </c>
    </row>
    <row r="88">
      <c r="A88" s="7" t="inlineStr">
        <is>
          <t>us-gaap:DebtInstrumentCarryingAmount</t>
        </is>
      </c>
      <c r="B88" s="7" t="n">
        <v>718</v>
      </c>
      <c r="C88" s="8" t="n">
        <v>718</v>
      </c>
      <c r="D88" s="8" t="inlineStr">
        <is>
          <t>None</t>
        </is>
      </c>
      <c r="E88" s="8" t="n">
        <v>0</v>
      </c>
    </row>
    <row r="89">
      <c r="A89" s="7" t="inlineStr">
        <is>
          <t>us-gaap:DebtInstrumentCarryingAmount</t>
        </is>
      </c>
      <c r="B89" s="7" t="n">
        <v>454</v>
      </c>
      <c r="C89" s="7" t="n">
        <v>454</v>
      </c>
      <c r="D89" s="8" t="inlineStr">
        <is>
          <t>None</t>
        </is>
      </c>
      <c r="E89" s="8" t="n">
        <v>0</v>
      </c>
    </row>
    <row r="90">
      <c r="A90" s="7" t="inlineStr">
        <is>
          <t>us-gaap:DebtInstrumentCarryingAmount</t>
        </is>
      </c>
      <c r="B90" s="7" t="n">
        <v>314</v>
      </c>
      <c r="C90" s="7" t="n">
        <v>2814</v>
      </c>
      <c r="D90" s="8" t="inlineStr">
        <is>
          <t>None</t>
        </is>
      </c>
      <c r="E90" s="8" t="n">
        <v>0</v>
      </c>
    </row>
    <row r="91">
      <c r="A91" s="7" t="inlineStr">
        <is>
          <t>us-gaap:DebtInstrumentCarryingAmount</t>
        </is>
      </c>
      <c r="B91" s="7" t="n">
        <v>2484</v>
      </c>
      <c r="C91" s="7" t="n">
        <v>2499</v>
      </c>
      <c r="D91" s="8" t="inlineStr">
        <is>
          <t>None</t>
        </is>
      </c>
      <c r="E91" s="8" t="n">
        <v>0</v>
      </c>
    </row>
    <row r="92">
      <c r="A92" s="7" t="inlineStr">
        <is>
          <t>us-gaap:DebtInstrumentCarryingAmount</t>
        </is>
      </c>
      <c r="B92" s="7" t="n">
        <v>9805</v>
      </c>
      <c r="C92" s="7" t="n">
        <v>9805</v>
      </c>
      <c r="D92" s="8" t="inlineStr">
        <is>
          <t>None</t>
        </is>
      </c>
      <c r="E92" s="8" t="n">
        <v>0</v>
      </c>
    </row>
    <row r="93">
      <c r="A93" s="7" t="inlineStr">
        <is>
          <t>us-gaap:DebtInstrumentCarryingAmount</t>
        </is>
      </c>
      <c r="B93" s="7" t="n">
        <v>7930</v>
      </c>
      <c r="C93" s="7" t="n">
        <v>9430</v>
      </c>
      <c r="D93" s="8" t="inlineStr">
        <is>
          <t>None</t>
        </is>
      </c>
      <c r="E93" s="8" t="n">
        <v>0</v>
      </c>
    </row>
    <row r="94">
      <c r="A94" s="7" t="inlineStr">
        <is>
          <t>us-gaap:DebtInstrumentCarryingAmount</t>
        </is>
      </c>
      <c r="B94" s="7" t="n">
        <v>6833</v>
      </c>
      <c r="C94" s="7" t="n">
        <v>8945</v>
      </c>
      <c r="D94" s="8" t="inlineStr">
        <is>
          <t>None</t>
        </is>
      </c>
      <c r="E94" s="8" t="n">
        <v>0</v>
      </c>
    </row>
    <row r="95">
      <c r="A95" s="7" t="inlineStr">
        <is>
          <t>us-gaap:DebtInstrumentCarryingAmount</t>
        </is>
      </c>
      <c r="B95" s="7" t="n">
        <v>10111</v>
      </c>
      <c r="C95" s="8" t="n">
        <v>10000</v>
      </c>
      <c r="D95" s="8" t="inlineStr">
        <is>
          <t>None</t>
        </is>
      </c>
      <c r="E95" s="8" t="n">
        <v>0</v>
      </c>
    </row>
    <row r="96">
      <c r="A96" s="7" t="inlineStr">
        <is>
          <t>us-gaap:DebtInstrumentCarryingAmount</t>
        </is>
      </c>
      <c r="B96" s="7" t="n">
        <v>8185</v>
      </c>
      <c r="C96" s="7" t="n">
        <v>8185</v>
      </c>
      <c r="D96" s="8" t="inlineStr">
        <is>
          <t>None</t>
        </is>
      </c>
      <c r="E96" s="8" t="n">
        <v>0</v>
      </c>
    </row>
    <row r="97">
      <c r="A97" s="7" t="inlineStr">
        <is>
          <t>us-gaap:DebtInstrumentCarryingAmount</t>
        </is>
      </c>
      <c r="B97" s="7" t="n">
        <v>3401</v>
      </c>
      <c r="C97" s="7" t="n">
        <v>53856</v>
      </c>
      <c r="D97" s="8" t="inlineStr">
        <is>
          <t>None</t>
        </is>
      </c>
      <c r="E97" s="8" t="n">
        <v>0</v>
      </c>
    </row>
    <row r="98">
      <c r="A98" s="7" t="inlineStr">
        <is>
          <t>us-gaap:DebtInstrumentFaceAmount</t>
        </is>
      </c>
      <c r="B98" s="7" t="n">
        <v>3.8</v>
      </c>
      <c r="C98" s="7" t="n">
        <v>3.8</v>
      </c>
      <c r="D98" s="8" t="inlineStr">
        <is>
          <t>None</t>
        </is>
      </c>
      <c r="E98" s="8" t="n">
        <v>1</v>
      </c>
    </row>
    <row r="99">
      <c r="A99" s="7" t="inlineStr">
        <is>
          <t>us-gaap:DebtInstrumentFaceAmount</t>
        </is>
      </c>
      <c r="B99" s="7" t="n">
        <v>4.8</v>
      </c>
      <c r="C99" s="7" t="n">
        <v>4.8</v>
      </c>
      <c r="D99" s="8" t="inlineStr">
        <is>
          <t>None</t>
        </is>
      </c>
      <c r="E99" s="8" t="n">
        <v>1</v>
      </c>
    </row>
    <row r="100">
      <c r="A100" s="7" t="inlineStr">
        <is>
          <t>us-gaap:DebtInstrumentFaceAmount</t>
        </is>
      </c>
      <c r="B100" s="7" t="n">
        <v>2.3</v>
      </c>
      <c r="C100" s="7" t="n">
        <v>2.3</v>
      </c>
      <c r="D100" s="8" t="inlineStr">
        <is>
          <t>None</t>
        </is>
      </c>
      <c r="E100" s="8" t="n">
        <v>0</v>
      </c>
    </row>
    <row r="101">
      <c r="A101" s="7" t="inlineStr">
        <is>
          <t>us-gaap:DebtInstrumentFaceAmount</t>
        </is>
      </c>
      <c r="B101" s="7" t="n">
        <v>5.2</v>
      </c>
      <c r="C101" s="7" t="n">
        <v>5.2</v>
      </c>
      <c r="D101" s="8" t="inlineStr">
        <is>
          <t>None</t>
        </is>
      </c>
      <c r="E101" s="8" t="n">
        <v>0</v>
      </c>
    </row>
    <row r="102">
      <c r="A102" s="7" t="inlineStr">
        <is>
          <t>us-gaap:DebtInstrumentFaceAmount</t>
        </is>
      </c>
      <c r="B102" s="7" t="n">
        <v>4.1</v>
      </c>
      <c r="C102" s="7" t="n">
        <v>4.1</v>
      </c>
      <c r="D102" s="8" t="inlineStr">
        <is>
          <t>None</t>
        </is>
      </c>
      <c r="E102" s="8" t="n">
        <v>1</v>
      </c>
    </row>
    <row r="103">
      <c r="A103" s="7" t="inlineStr">
        <is>
          <t>us-gaap:DebtInstrumentFaceAmount</t>
        </is>
      </c>
      <c r="B103" s="7" t="n">
        <v>23.8</v>
      </c>
      <c r="C103" s="7" t="n">
        <v>23.8</v>
      </c>
      <c r="D103" s="8" t="inlineStr">
        <is>
          <t>None</t>
        </is>
      </c>
      <c r="E103" s="8" t="n">
        <v>1</v>
      </c>
    </row>
    <row r="104">
      <c r="A104" s="7" t="inlineStr">
        <is>
          <t>us-gaap:DebtInstrumentFaceAmount</t>
        </is>
      </c>
      <c r="B104" s="7" t="n">
        <v>19.8</v>
      </c>
      <c r="C104" s="7" t="n">
        <v>19.8</v>
      </c>
      <c r="D104" s="8" t="inlineStr">
        <is>
          <t>None</t>
        </is>
      </c>
      <c r="E104" s="8" t="n">
        <v>0</v>
      </c>
    </row>
    <row r="105">
      <c r="A105" s="7" t="inlineStr">
        <is>
          <t>us-gaap:DebtInstrumentFaceAmount</t>
        </is>
      </c>
      <c r="B105" s="7" t="n">
        <v>17.1</v>
      </c>
      <c r="C105" s="7" t="n">
        <v>17</v>
      </c>
      <c r="D105" s="8" t="inlineStr">
        <is>
          <t>None</t>
        </is>
      </c>
      <c r="E105" s="8" t="n">
        <v>0</v>
      </c>
    </row>
    <row r="106">
      <c r="A106" s="7" t="inlineStr">
        <is>
          <t>us-gaap:DebtInstrumentFaceAmount</t>
        </is>
      </c>
      <c r="B106" s="7" t="n">
        <v>10.1</v>
      </c>
      <c r="C106" s="7" t="n">
        <v>10</v>
      </c>
      <c r="D106" s="8" t="inlineStr">
        <is>
          <t>None</t>
        </is>
      </c>
      <c r="E106" s="8" t="n">
        <v>1</v>
      </c>
    </row>
    <row r="107">
      <c r="A107" s="7" t="inlineStr">
        <is>
          <t>us-gaap:DebtInstrumentFaceAmount</t>
        </is>
      </c>
      <c r="B107" s="7" t="n">
        <v>8.199999999999999</v>
      </c>
      <c r="C107" s="7" t="n">
        <v>8.199999999999999</v>
      </c>
      <c r="D107" s="8" t="inlineStr">
        <is>
          <t>None</t>
        </is>
      </c>
      <c r="E107" s="8" t="n">
        <v>0</v>
      </c>
    </row>
    <row r="108">
      <c r="A108" s="7" t="inlineStr">
        <is>
          <t>us-gaap:DebtInstrumentInterestRateEffectivePercentage</t>
        </is>
      </c>
      <c r="B108" s="7" t="n">
        <v>5.24</v>
      </c>
      <c r="C108" s="7" t="n">
        <v>5.24</v>
      </c>
      <c r="D108" s="8" t="inlineStr">
        <is>
          <t>None</t>
        </is>
      </c>
      <c r="E108" s="8" t="n">
        <v>0</v>
      </c>
    </row>
    <row r="109">
      <c r="A109" s="7" t="inlineStr">
        <is>
          <t>us-gaap:DebtInstrumentInterestRateEffectivePercentage</t>
        </is>
      </c>
      <c r="B109" s="7" t="n">
        <v>4.57</v>
      </c>
      <c r="C109" s="7" t="n">
        <v>4.57</v>
      </c>
      <c r="D109" s="8" t="inlineStr">
        <is>
          <t>None</t>
        </is>
      </c>
      <c r="E109" s="8" t="n">
        <v>0</v>
      </c>
    </row>
    <row r="110">
      <c r="A110" s="7" t="inlineStr">
        <is>
          <t>us-gaap:DebtInstrumentInterestRateEffectivePercentage</t>
        </is>
      </c>
      <c r="B110" s="7" t="n">
        <v>5.36</v>
      </c>
      <c r="C110" s="7" t="n">
        <v>5.36</v>
      </c>
      <c r="D110" s="8" t="inlineStr">
        <is>
          <t>None</t>
        </is>
      </c>
      <c r="E110" s="8" t="n">
        <v>0</v>
      </c>
    </row>
    <row r="111">
      <c r="A111" s="7" t="inlineStr">
        <is>
          <t>us-gaap:DebtInstrumentInterestRateEffectivePercentage</t>
        </is>
      </c>
      <c r="B111" s="7" t="n">
        <v>3.57</v>
      </c>
      <c r="C111" s="7" t="n">
        <v>2.24</v>
      </c>
      <c r="D111" s="8" t="inlineStr">
        <is>
          <t>None</t>
        </is>
      </c>
      <c r="E111" s="8" t="n">
        <v>0</v>
      </c>
    </row>
    <row r="112">
      <c r="A112" s="7" t="inlineStr">
        <is>
          <t>us-gaap:DebtInstrumentInterestRateEffectivePercentage</t>
        </is>
      </c>
      <c r="B112" s="7" t="n">
        <v>3.83</v>
      </c>
      <c r="C112" s="7" t="n">
        <v>3.57</v>
      </c>
      <c r="D112" s="8" t="inlineStr">
        <is>
          <t>None</t>
        </is>
      </c>
      <c r="E112" s="8" t="n">
        <v>0</v>
      </c>
    </row>
    <row r="113">
      <c r="A113" s="7" t="inlineStr">
        <is>
          <t>us-gaap:DebtInstrumentInterestRateEffectivePercentage</t>
        </is>
      </c>
      <c r="B113" s="7" t="n">
        <v>4.92</v>
      </c>
      <c r="C113" s="7" t="n">
        <v>2.47</v>
      </c>
      <c r="D113" s="8" t="inlineStr">
        <is>
          <t>None</t>
        </is>
      </c>
      <c r="E113" s="8" t="n">
        <v>0</v>
      </c>
    </row>
    <row r="114">
      <c r="A114" s="7" t="inlineStr">
        <is>
          <t>us-gaap:DebtInstrumentInterestRateEffectivePercentage</t>
        </is>
      </c>
      <c r="B114" s="7" t="n">
        <v>2.69</v>
      </c>
      <c r="C114" s="7" t="n">
        <v>4.92</v>
      </c>
      <c r="D114" s="8" t="inlineStr">
        <is>
          <t>None</t>
        </is>
      </c>
      <c r="E114" s="8" t="n">
        <v>0</v>
      </c>
    </row>
    <row r="115">
      <c r="A115" s="7" t="inlineStr">
        <is>
          <t>us-gaap:DebtInstrumentInterestRateEffectivePercentage</t>
        </is>
      </c>
      <c r="B115" s="7" t="n">
        <v>3.22</v>
      </c>
      <c r="C115" s="7" t="n">
        <v>2.69</v>
      </c>
      <c r="D115" s="8" t="inlineStr">
        <is>
          <t>None</t>
        </is>
      </c>
      <c r="E115" s="8" t="n">
        <v>0</v>
      </c>
    </row>
    <row r="116">
      <c r="A116" s="7" t="inlineStr">
        <is>
          <t>us-gaap:DebtInstrumentInterestRateEffectivePercentage</t>
        </is>
      </c>
      <c r="B116" s="7" t="n">
        <v>2.77</v>
      </c>
      <c r="C116" s="7" t="n">
        <v>3.22</v>
      </c>
      <c r="D116" s="8" t="inlineStr">
        <is>
          <t>None</t>
        </is>
      </c>
      <c r="E116" s="8" t="n">
        <v>0</v>
      </c>
    </row>
    <row r="117">
      <c r="A117" s="7" t="inlineStr">
        <is>
          <t>us-gaap:DebtInstrumentInterestRateEffectivePercentage</t>
        </is>
      </c>
      <c r="B117" s="7" t="n">
        <v>4.78</v>
      </c>
      <c r="C117" s="7" t="n">
        <v>2.77</v>
      </c>
      <c r="D117" s="8" t="inlineStr">
        <is>
          <t>None</t>
        </is>
      </c>
      <c r="E117" s="8" t="n">
        <v>0</v>
      </c>
    </row>
    <row r="118">
      <c r="A118" s="7" t="inlineStr">
        <is>
          <t>us-gaap:DebtInstrumentInterestRateEffectivePercentage</t>
        </is>
      </c>
      <c r="B118" s="7" t="n">
        <v>2.46</v>
      </c>
      <c r="C118" s="7" t="n">
        <v>4.78</v>
      </c>
      <c r="D118" s="8" t="inlineStr">
        <is>
          <t>None</t>
        </is>
      </c>
      <c r="E118" s="8" t="n">
        <v>0</v>
      </c>
    </row>
    <row r="119">
      <c r="A119" s="7" t="inlineStr">
        <is>
          <t>us-gaap:DebtInstrumentInterestRateEffectivePercentage</t>
        </is>
      </c>
      <c r="B119" s="7" t="n">
        <v>4.03</v>
      </c>
      <c r="C119" s="7" t="n">
        <v>2.1</v>
      </c>
      <c r="D119" s="8" t="inlineStr">
        <is>
          <t>None</t>
        </is>
      </c>
      <c r="E119" s="8" t="n">
        <v>0</v>
      </c>
    </row>
    <row r="120">
      <c r="A120" s="7" t="inlineStr">
        <is>
          <t>us-gaap:DebtInstrumentInterestRateEffectivePercentage</t>
        </is>
      </c>
      <c r="B120" s="8" t="n">
        <v>3.38</v>
      </c>
      <c r="C120" s="7" t="n">
        <v>4.03</v>
      </c>
      <c r="D120" s="8" t="inlineStr">
        <is>
          <t>None</t>
        </is>
      </c>
      <c r="E120" s="8" t="n">
        <v>0</v>
      </c>
    </row>
    <row r="121">
      <c r="A121" s="7" t="inlineStr">
        <is>
          <t>us-gaap:DebtInstrumentInterestRateEffectivePercentage</t>
        </is>
      </c>
      <c r="B121" s="7" t="n">
        <v>5.49</v>
      </c>
      <c r="C121" s="7" t="n">
        <v>3.04</v>
      </c>
      <c r="D121" s="8" t="inlineStr">
        <is>
          <t>None</t>
        </is>
      </c>
      <c r="E121" s="8" t="n">
        <v>1</v>
      </c>
    </row>
    <row r="122">
      <c r="A122" s="7" t="inlineStr">
        <is>
          <t>us-gaap:DebtInstrumentInterestRateEffectivePercentage</t>
        </is>
      </c>
      <c r="B122" s="7" t="n">
        <v>2.53</v>
      </c>
      <c r="C122" s="7" t="n">
        <v>4.53</v>
      </c>
      <c r="D122" s="8" t="inlineStr">
        <is>
          <t>None</t>
        </is>
      </c>
      <c r="E122" s="8" t="n">
        <v>0</v>
      </c>
    </row>
    <row r="123">
      <c r="A123" s="7" t="inlineStr">
        <is>
          <t>us-gaap:DebtInstrumentInterestRateEffectivePercentage</t>
        </is>
      </c>
      <c r="B123" s="7" t="n">
        <v>5.43</v>
      </c>
      <c r="C123" s="7" t="n">
        <v>2.53</v>
      </c>
      <c r="D123" s="8" t="inlineStr">
        <is>
          <t>None</t>
        </is>
      </c>
      <c r="E123" s="8" t="n">
        <v>1</v>
      </c>
    </row>
    <row r="124">
      <c r="A124" s="7" t="inlineStr">
        <is>
          <t>us-gaap:DebtInstrumentInterestRateEffectivePercentage</t>
        </is>
      </c>
      <c r="B124" s="7" t="n">
        <v>2.92</v>
      </c>
      <c r="C124" s="7" t="n">
        <v>2.68</v>
      </c>
      <c r="D124" s="8" t="inlineStr">
        <is>
          <t>None</t>
        </is>
      </c>
      <c r="E124" s="8" t="n">
        <v>0</v>
      </c>
    </row>
    <row r="125">
      <c r="A125" s="7" t="inlineStr">
        <is>
          <t>us-gaap:DebtInstrumentInterestRateEffectivePercentage</t>
        </is>
      </c>
      <c r="B125" s="7" t="n">
        <v>3.04</v>
      </c>
      <c r="C125" s="7" t="n">
        <v>2.92</v>
      </c>
      <c r="D125" s="8" t="inlineStr">
        <is>
          <t>None</t>
        </is>
      </c>
      <c r="E125" s="8" t="n">
        <v>0</v>
      </c>
    </row>
    <row r="126">
      <c r="A126" s="7" t="inlineStr">
        <is>
          <t>us-gaap:DebtInstrumentInterestRateEffectivePercentage</t>
        </is>
      </c>
      <c r="B126" s="7" t="n">
        <v>5.16</v>
      </c>
      <c r="C126" s="7" t="n">
        <v>3.04</v>
      </c>
      <c r="D126" s="8" t="inlineStr">
        <is>
          <t>None</t>
        </is>
      </c>
      <c r="E126" s="8" t="n">
        <v>1</v>
      </c>
    </row>
    <row r="127">
      <c r="A127" s="7" t="inlineStr">
        <is>
          <t>us-gaap:DebtInstrumentInterestRateStatedPercentage</t>
        </is>
      </c>
      <c r="B127" s="15" t="n">
        <v>4.5</v>
      </c>
      <c r="C127" s="7" t="n">
        <v>4.5</v>
      </c>
      <c r="D127" s="8" t="inlineStr">
        <is>
          <t>None</t>
        </is>
      </c>
      <c r="E127" s="8" t="n">
        <v>1</v>
      </c>
    </row>
    <row r="128">
      <c r="A128" s="7" t="inlineStr">
        <is>
          <t>us-gaap:DebtInstrumentInterestRateStatedPercentage</t>
        </is>
      </c>
      <c r="B128" s="15" t="n">
        <v>5.3</v>
      </c>
      <c r="C128" s="17" t="n">
        <v>5.3</v>
      </c>
      <c r="D128" s="8" t="inlineStr">
        <is>
          <t>None</t>
        </is>
      </c>
      <c r="E128" s="8" t="n">
        <v>0</v>
      </c>
    </row>
    <row r="129">
      <c r="A129" s="7" t="inlineStr">
        <is>
          <t>us-gaap:DebtInstrumentInterestRateStatedPercentage</t>
        </is>
      </c>
      <c r="B129" s="15" t="n">
        <v>3.5</v>
      </c>
      <c r="C129" s="17" t="n">
        <v>2.13</v>
      </c>
      <c r="D129" s="8" t="inlineStr">
        <is>
          <t>None</t>
        </is>
      </c>
      <c r="E129" s="8" t="n">
        <v>0</v>
      </c>
    </row>
    <row r="130">
      <c r="A130" s="7" t="inlineStr">
        <is>
          <t>us-gaap:DebtInstrumentInterestRateStatedPercentage</t>
        </is>
      </c>
      <c r="B130" s="15" t="n">
        <v>3.75</v>
      </c>
      <c r="C130" s="17" t="n">
        <v>3.5</v>
      </c>
      <c r="D130" s="8" t="inlineStr">
        <is>
          <t>None</t>
        </is>
      </c>
      <c r="E130" s="8" t="n">
        <v>0</v>
      </c>
    </row>
    <row r="131">
      <c r="A131" s="7" t="inlineStr">
        <is>
          <t>us-gaap:DebtInstrumentInterestRateStatedPercentage</t>
        </is>
      </c>
      <c r="B131" s="15" t="n">
        <v>4.88</v>
      </c>
      <c r="C131" s="17" t="n">
        <v>2.38</v>
      </c>
      <c r="D131" s="8" t="inlineStr">
        <is>
          <t>None</t>
        </is>
      </c>
      <c r="E131" s="8" t="n">
        <v>0</v>
      </c>
    </row>
    <row r="132">
      <c r="A132" s="7" t="inlineStr">
        <is>
          <t>us-gaap:DebtInstrumentInterestRateStatedPercentage</t>
        </is>
      </c>
      <c r="B132" s="15" t="n">
        <v>2.63</v>
      </c>
      <c r="C132" s="17" t="n">
        <v>4.88</v>
      </c>
      <c r="D132" s="8" t="inlineStr">
        <is>
          <t>None</t>
        </is>
      </c>
      <c r="E132" s="8" t="n">
        <v>0</v>
      </c>
    </row>
    <row r="133">
      <c r="A133" s="7" t="inlineStr">
        <is>
          <t>us-gaap:DebtInstrumentInterestRateStatedPercentage</t>
        </is>
      </c>
      <c r="B133" s="15" t="n">
        <v>3.13</v>
      </c>
      <c r="C133" s="17" t="n">
        <v>2.63</v>
      </c>
      <c r="D133" s="8" t="inlineStr">
        <is>
          <t>None</t>
        </is>
      </c>
      <c r="E133" s="8" t="n">
        <v>0</v>
      </c>
    </row>
    <row r="134">
      <c r="A134" s="7" t="inlineStr">
        <is>
          <t>us-gaap:DebtInstrumentInterestRateStatedPercentage</t>
        </is>
      </c>
      <c r="B134" s="16" t="n">
        <v>2.7</v>
      </c>
      <c r="C134" s="18" t="n">
        <v>3.13</v>
      </c>
      <c r="D134" s="8" t="inlineStr">
        <is>
          <t>None</t>
        </is>
      </c>
      <c r="E134" s="8" t="n">
        <v>1</v>
      </c>
    </row>
    <row r="135">
      <c r="A135" s="7" t="inlineStr">
        <is>
          <t>us-gaap:DebtInstrumentInterestRateStatedPercentage</t>
        </is>
      </c>
      <c r="B135" s="16" t="n">
        <v>4.75</v>
      </c>
      <c r="C135" s="18" t="n">
        <v>2.7</v>
      </c>
      <c r="D135" s="8" t="inlineStr">
        <is>
          <t>None</t>
        </is>
      </c>
      <c r="E135" s="8" t="n">
        <v>1</v>
      </c>
    </row>
    <row r="136">
      <c r="A136" s="7" t="inlineStr">
        <is>
          <t>us-gaap:DebtInstrumentInterestRateStatedPercentage</t>
        </is>
      </c>
      <c r="B136" s="15" t="n">
        <v>2.4</v>
      </c>
      <c r="C136" s="17" t="n">
        <v>4.75</v>
      </c>
      <c r="D136" s="8" t="inlineStr">
        <is>
          <t>None</t>
        </is>
      </c>
      <c r="E136" s="8" t="n">
        <v>0</v>
      </c>
    </row>
    <row r="137">
      <c r="A137" s="7" t="inlineStr">
        <is>
          <t>us-gaap:DebtInstrumentInterestRateStatedPercentage</t>
        </is>
      </c>
      <c r="B137" s="7" t="n">
        <v>3.95</v>
      </c>
      <c r="C137" s="7" t="n">
        <v>2</v>
      </c>
      <c r="D137" s="8" t="inlineStr">
        <is>
          <t>None</t>
        </is>
      </c>
      <c r="E137" s="8" t="n">
        <v>1</v>
      </c>
    </row>
    <row r="138">
      <c r="A138" s="7" t="inlineStr">
        <is>
          <t>us-gaap:DebtInstrumentInterestRateStatedPercentage</t>
        </is>
      </c>
      <c r="B138" s="15" t="n">
        <v>3.3</v>
      </c>
      <c r="C138" s="17" t="n">
        <v>3.95</v>
      </c>
      <c r="D138" s="8" t="inlineStr">
        <is>
          <t>None</t>
        </is>
      </c>
      <c r="E138" s="8" t="n">
        <v>1</v>
      </c>
    </row>
    <row r="139">
      <c r="A139" s="7" t="inlineStr">
        <is>
          <t>us-gaap:DebtInstrumentInterestRateStatedPercentage</t>
        </is>
      </c>
      <c r="B139" s="15" t="n">
        <v>4.5</v>
      </c>
      <c r="C139" s="17" t="n">
        <v>2.88</v>
      </c>
      <c r="D139" s="8" t="inlineStr">
        <is>
          <t>None</t>
        </is>
      </c>
      <c r="E139" s="8" t="n">
        <v>1</v>
      </c>
    </row>
    <row r="140">
      <c r="A140" s="7" t="inlineStr">
        <is>
          <t>us-gaap:DebtInstrumentInterestRateStatedPercentage</t>
        </is>
      </c>
      <c r="B140" s="15" t="n">
        <v>1.35</v>
      </c>
      <c r="C140" s="17" t="n">
        <v>4.5</v>
      </c>
      <c r="D140" s="8" t="inlineStr">
        <is>
          <t>None</t>
        </is>
      </c>
      <c r="E140" s="8" t="n">
        <v>1</v>
      </c>
    </row>
    <row r="141">
      <c r="A141" s="7" t="inlineStr">
        <is>
          <t>us-gaap:DebtInstrumentInterestRateStatedPercentage</t>
        </is>
      </c>
      <c r="B141" s="15" t="n">
        <v>2.68</v>
      </c>
      <c r="C141" s="17" t="n">
        <v>2.53</v>
      </c>
      <c r="D141" s="8" t="inlineStr">
        <is>
          <t>None</t>
        </is>
      </c>
      <c r="E141" s="8" t="n">
        <v>1</v>
      </c>
    </row>
    <row r="142">
      <c r="A142" s="7" t="inlineStr">
        <is>
          <t>us-gaap:DebtInstrumentInterestRateStatedPercentage</t>
        </is>
      </c>
      <c r="B142" s="15" t="n">
        <v>1.35</v>
      </c>
      <c r="C142" s="15" t="n">
        <v>3.04</v>
      </c>
      <c r="D142" s="8" t="inlineStr">
        <is>
          <t>None</t>
        </is>
      </c>
      <c r="E142" s="8" t="n">
        <v>1</v>
      </c>
    </row>
    <row r="143">
      <c r="A143" s="7" t="inlineStr">
        <is>
          <t>us-gaap:DebtInstrumentUnamortizedDiscountPremiumAndDebtIssuanceCostsNet</t>
        </is>
      </c>
      <c r="B143" s="15" t="n">
        <v>1246</v>
      </c>
      <c r="C143" s="17" t="n">
        <v>446</v>
      </c>
      <c r="D143" s="8" t="inlineStr">
        <is>
          <t>None</t>
        </is>
      </c>
      <c r="E143" s="8" t="n">
        <v>0</v>
      </c>
    </row>
    <row r="144">
      <c r="A144" s="7" t="inlineStr">
        <is>
          <t>us-gaap:DebtSecuritiesAvailableForSaleContinuousUnrealizedLossPosition12MonthsOrLonger</t>
        </is>
      </c>
      <c r="B144" s="16" t="n">
        <v>48044</v>
      </c>
      <c r="C144" s="18" t="n">
        <v>41520</v>
      </c>
      <c r="D144" s="8" t="inlineStr">
        <is>
          <t>None</t>
        </is>
      </c>
      <c r="E144" s="8" t="n">
        <v>0</v>
      </c>
    </row>
    <row r="145">
      <c r="A145" s="7" t="inlineStr">
        <is>
          <t>us-gaap:DebtSecuritiesAvailableForSaleContinuousUnrealizedLossPosition12MonthsOrLonger</t>
        </is>
      </c>
      <c r="B145" s="16" t="n">
        <v>226</v>
      </c>
      <c r="C145" s="18" t="n">
        <v>390</v>
      </c>
      <c r="D145" s="8" t="inlineStr">
        <is>
          <t>None</t>
        </is>
      </c>
      <c r="E145" s="8" t="n">
        <v>1</v>
      </c>
    </row>
    <row r="146">
      <c r="A146" s="7" t="inlineStr">
        <is>
          <t>us-gaap:DebtSecuritiesAvailableForSaleContinuousUnrealizedLossPosition12MonthsOrLonger</t>
        </is>
      </c>
      <c r="B146" s="15" t="n">
        <v>339</v>
      </c>
      <c r="C146" s="17" t="n">
        <v>387</v>
      </c>
      <c r="D146" s="8" t="inlineStr">
        <is>
          <t>None</t>
        </is>
      </c>
      <c r="E146" s="8" t="n">
        <v>0</v>
      </c>
    </row>
    <row r="147">
      <c r="A147" s="7" t="inlineStr">
        <is>
          <t>us-gaap:DebtSecuritiesAvailableForSaleContinuousUnrealizedLossPosition12MonthsOrLonger</t>
        </is>
      </c>
      <c r="B147" s="7" t="n">
        <v>6435</v>
      </c>
      <c r="C147" s="8" t="n">
        <v>7486</v>
      </c>
      <c r="D147" s="8" t="inlineStr">
        <is>
          <t>None</t>
        </is>
      </c>
      <c r="E147" s="8" t="n">
        <v>0</v>
      </c>
    </row>
    <row r="148">
      <c r="A148" s="7" t="inlineStr">
        <is>
          <t>us-gaap:DebtSecuritiesAvailableForSaleContinuousUnrealizedLossPosition12MonthsOrLonger</t>
        </is>
      </c>
      <c r="B148" s="15" t="n">
        <v>237</v>
      </c>
      <c r="C148" s="17" t="n">
        <v>177</v>
      </c>
      <c r="D148" s="8" t="inlineStr">
        <is>
          <t>None</t>
        </is>
      </c>
      <c r="E148" s="8" t="n">
        <v>1</v>
      </c>
    </row>
    <row r="149">
      <c r="A149" s="7" t="inlineStr">
        <is>
          <t>us-gaap:DebtSecuritiesAvailableForSaleContinuousUnrealizedLossPosition12MonthsOrLonger</t>
        </is>
      </c>
      <c r="B149" s="15" t="n">
        <v>55281</v>
      </c>
      <c r="C149" s="17" t="n">
        <v>49960</v>
      </c>
      <c r="D149" s="8" t="inlineStr">
        <is>
          <t>None</t>
        </is>
      </c>
      <c r="E149" s="8" t="n">
        <v>0</v>
      </c>
    </row>
    <row r="150">
      <c r="A150" s="7" t="inlineStr">
        <is>
          <t>us-gaap:DebtSecuritiesAvailableForSaleContinuousUnrealizedLossPosition12MonthsOrLongerAccumulatedLoss</t>
        </is>
      </c>
      <c r="B150" s="15" t="n">
        <v>3057</v>
      </c>
      <c r="C150" s="17" t="n">
        <v>2817</v>
      </c>
      <c r="D150" s="8" t="inlineStr">
        <is>
          <t>None</t>
        </is>
      </c>
      <c r="E150" s="8" t="n">
        <v>0</v>
      </c>
    </row>
    <row r="151">
      <c r="A151" s="7" t="inlineStr">
        <is>
          <t>us-gaap:DebtSecuritiesAvailableForSaleContinuousUnrealizedLossPosition12MonthsOrLongerAccumulatedLoss</t>
        </is>
      </c>
      <c r="B151" s="15" t="n">
        <v>12</v>
      </c>
      <c r="C151" s="17" t="n">
        <v>18</v>
      </c>
      <c r="D151" s="8" t="inlineStr">
        <is>
          <t>None</t>
        </is>
      </c>
      <c r="E151" s="8" t="n">
        <v>1</v>
      </c>
    </row>
    <row r="152">
      <c r="A152" s="7" t="inlineStr">
        <is>
          <t>us-gaap:DebtSecuritiesAvailableForSaleContinuousUnrealizedLossPosition12MonthsOrLongerAccumulatedLoss</t>
        </is>
      </c>
      <c r="B152" s="15" t="n">
        <v>30</v>
      </c>
      <c r="C152" s="17" t="n">
        <v>31</v>
      </c>
      <c r="D152" s="8" t="inlineStr">
        <is>
          <t>None</t>
        </is>
      </c>
      <c r="E152" s="8" t="n">
        <v>1</v>
      </c>
    </row>
    <row r="153">
      <c r="A153" s="7" t="inlineStr">
        <is>
          <t>us-gaap:DebtSecuritiesAvailableForSaleContinuousUnrealizedLossPosition12MonthsOrLongerAccumulatedLoss</t>
        </is>
      </c>
      <c r="B153" s="15" t="n">
        <v>332</v>
      </c>
      <c r="C153" s="17" t="n">
        <v>511</v>
      </c>
      <c r="D153" s="8" t="inlineStr">
        <is>
          <t>None</t>
        </is>
      </c>
      <c r="E153" s="8" t="n">
        <v>0</v>
      </c>
    </row>
    <row r="154">
      <c r="A154" s="7" t="inlineStr">
        <is>
          <t>us-gaap:DebtSecuritiesAvailableForSaleContinuousUnrealizedLossPosition12MonthsOrLongerAccumulatedLoss</t>
        </is>
      </c>
      <c r="B154" s="15" t="n">
        <v>29</v>
      </c>
      <c r="C154" s="17" t="n">
        <v>20</v>
      </c>
      <c r="D154" s="8" t="inlineStr">
        <is>
          <t>None</t>
        </is>
      </c>
      <c r="E154" s="8" t="n">
        <v>1</v>
      </c>
    </row>
    <row r="155">
      <c r="A155" s="7" t="inlineStr">
        <is>
          <t>us-gaap:DebtSecuritiesAvailableForSaleContinuousUnrealizedLossPosition12MonthsOrLongerAccumulatedLoss</t>
        </is>
      </c>
      <c r="B155" s="15" t="n">
        <v>3460</v>
      </c>
      <c r="C155" s="17" t="n">
        <v>3397</v>
      </c>
      <c r="D155" s="8" t="inlineStr">
        <is>
          <t>None</t>
        </is>
      </c>
      <c r="E155" s="8" t="n">
        <v>0</v>
      </c>
    </row>
    <row r="156">
      <c r="A156" s="7" t="inlineStr">
        <is>
          <t>us-gaap:DebtSecuritiesAvailableForSaleContinuousUnrealizedLossPositionLessThan12Months</t>
        </is>
      </c>
      <c r="B156" s="15" t="n">
        <v>650</v>
      </c>
      <c r="C156" s="17" t="n">
        <v>12922</v>
      </c>
      <c r="D156" s="8" t="inlineStr">
        <is>
          <t>None</t>
        </is>
      </c>
      <c r="E156" s="8" t="n">
        <v>0</v>
      </c>
    </row>
    <row r="157">
      <c r="A157" s="7" t="inlineStr">
        <is>
          <t>us-gaap:DebtSecuritiesAvailableForSaleContinuousUnrealizedLossPositionLessThan12Months</t>
        </is>
      </c>
      <c r="B157" s="15" t="n">
        <v>40</v>
      </c>
      <c r="C157" s="17" t="n">
        <v>74</v>
      </c>
      <c r="D157" s="8" t="inlineStr">
        <is>
          <t>None</t>
        </is>
      </c>
      <c r="E157" s="8" t="n">
        <v>1</v>
      </c>
    </row>
    <row r="158">
      <c r="A158" s="7" t="inlineStr">
        <is>
          <t>us-gaap:DebtSecuritiesAvailableForSaleContinuousUnrealizedLossPositionLessThan12Months</t>
        </is>
      </c>
      <c r="B158" s="15" t="n">
        <v>264</v>
      </c>
      <c r="C158" s="17" t="n">
        <v>160</v>
      </c>
      <c r="D158" s="8" t="inlineStr">
        <is>
          <t>None</t>
        </is>
      </c>
      <c r="E158" s="8" t="n">
        <v>0</v>
      </c>
    </row>
    <row r="159">
      <c r="A159" s="7" t="inlineStr">
        <is>
          <t>us-gaap:DebtSecuritiesAvailableForSaleContinuousUnrealizedLossPositionLessThan12Months</t>
        </is>
      </c>
      <c r="B159" s="15" t="n">
        <v>1000</v>
      </c>
      <c r="C159" s="17" t="n">
        <v>2015</v>
      </c>
      <c r="D159" s="8" t="inlineStr">
        <is>
          <t>None</t>
        </is>
      </c>
      <c r="E159" s="8" t="n">
        <v>1</v>
      </c>
    </row>
    <row r="160">
      <c r="A160" s="7" t="inlineStr">
        <is>
          <t>us-gaap:DebtSecuritiesAvailableForSaleContinuousUnrealizedLossPositionLessThan12Months</t>
        </is>
      </c>
      <c r="B160" s="15" t="n">
        <v>44</v>
      </c>
      <c r="C160" s="17" t="n">
        <v>87</v>
      </c>
      <c r="D160" s="8" t="inlineStr">
        <is>
          <t>None</t>
        </is>
      </c>
      <c r="E160" s="8" t="n">
        <v>1</v>
      </c>
    </row>
    <row r="161">
      <c r="A161" s="7" t="inlineStr">
        <is>
          <t>us-gaap:DebtSecuritiesAvailableForSaleContinuousUnrealizedLossPositionLessThan12Months</t>
        </is>
      </c>
      <c r="B161" s="15" t="n">
        <v>1998</v>
      </c>
      <c r="C161" s="17" t="n">
        <v>15258</v>
      </c>
      <c r="D161" s="8" t="inlineStr">
        <is>
          <t>None</t>
        </is>
      </c>
      <c r="E161" s="8" t="n">
        <v>0</v>
      </c>
    </row>
    <row r="162">
      <c r="A162" s="7" t="inlineStr">
        <is>
          <t>us-gaap:DebtSecuritiesAvailableForSaleContinuousUnrealizedLossPositionLessThan12MonthsAccumulatedLoss</t>
        </is>
      </c>
      <c r="B162" s="15" t="n">
        <v>17</v>
      </c>
      <c r="C162" s="17" t="n">
        <v>354</v>
      </c>
      <c r="D162" s="8" t="inlineStr">
        <is>
          <t>None</t>
        </is>
      </c>
      <c r="E162" s="8" t="n">
        <v>1</v>
      </c>
    </row>
    <row r="163">
      <c r="A163" s="7" t="inlineStr">
        <is>
          <t>us-gaap:DebtSecuritiesAvailableForSaleContinuousUnrealizedLossPositionLessThan12MonthsAccumulatedLoss</t>
        </is>
      </c>
      <c r="B163" s="7" t="n">
        <v>4</v>
      </c>
      <c r="C163" s="8" t="n">
        <v>5</v>
      </c>
      <c r="D163" s="8" t="inlineStr">
        <is>
          <t>None</t>
        </is>
      </c>
      <c r="E163" s="8" t="n">
        <v>1</v>
      </c>
    </row>
    <row r="164">
      <c r="A164" s="7" t="inlineStr">
        <is>
          <t>us-gaap:DebtSecuritiesAvailableForSaleContinuousUnrealizedLossPositionLessThan12MonthsAccumulatedLoss</t>
        </is>
      </c>
      <c r="B164" s="15" t="n">
        <v>9</v>
      </c>
      <c r="C164" s="17" t="n">
        <v>41</v>
      </c>
      <c r="D164" s="8" t="inlineStr">
        <is>
          <t>None</t>
        </is>
      </c>
      <c r="E164" s="8" t="n">
        <v>0</v>
      </c>
    </row>
    <row r="165">
      <c r="A165" s="7" t="inlineStr">
        <is>
          <t>us-gaap:DebtSecuritiesAvailableForSaleContinuousUnrealizedLossPositionLessThan12MonthsAccumulatedLoss</t>
        </is>
      </c>
      <c r="B165" s="15" t="n">
        <v>1</v>
      </c>
      <c r="C165" s="17" t="n">
        <v>2</v>
      </c>
      <c r="D165" s="8" t="inlineStr">
        <is>
          <t>None</t>
        </is>
      </c>
      <c r="E165" s="8" t="n">
        <v>1</v>
      </c>
    </row>
    <row r="166">
      <c r="A166" s="7" t="inlineStr">
        <is>
          <t>us-gaap:DebtSecuritiesAvailableForSaleContinuousUnrealizedLossPositionLessThan12MonthsAccumulatedLoss</t>
        </is>
      </c>
      <c r="B166" s="15" t="n">
        <v>31</v>
      </c>
      <c r="C166" s="17" t="n">
        <v>407</v>
      </c>
      <c r="D166" s="8" t="inlineStr">
        <is>
          <t>None</t>
        </is>
      </c>
      <c r="E166" s="8" t="n">
        <v>0</v>
      </c>
    </row>
    <row r="167">
      <c r="A167" s="7" t="inlineStr">
        <is>
          <t>us-gaap:DebtSecuritiesAvailableForSaleUnrealizedLossPosition</t>
        </is>
      </c>
      <c r="B167" s="15" t="n">
        <v>48694</v>
      </c>
      <c r="C167" s="17" t="n">
        <v>54442</v>
      </c>
      <c r="D167" s="8" t="inlineStr">
        <is>
          <t>None</t>
        </is>
      </c>
      <c r="E167" s="8" t="n">
        <v>0</v>
      </c>
    </row>
    <row r="168">
      <c r="A168" s="7" t="inlineStr">
        <is>
          <t>us-gaap:DebtSecuritiesAvailableForSaleUnrealizedLossPosition</t>
        </is>
      </c>
      <c r="B168" s="15" t="n">
        <v>266</v>
      </c>
      <c r="C168" s="17" t="n">
        <v>464</v>
      </c>
      <c r="D168" s="8" t="inlineStr">
        <is>
          <t>None</t>
        </is>
      </c>
      <c r="E168" s="8" t="n">
        <v>0</v>
      </c>
    </row>
    <row r="169">
      <c r="A169" s="7" t="inlineStr">
        <is>
          <t>us-gaap:DebtSecuritiesAvailableForSaleUnrealizedLossPosition</t>
        </is>
      </c>
      <c r="B169" s="15" t="n">
        <v>603</v>
      </c>
      <c r="C169" s="17" t="n">
        <v>547</v>
      </c>
      <c r="D169" s="8" t="inlineStr">
        <is>
          <t>None</t>
        </is>
      </c>
      <c r="E169" s="8" t="n">
        <v>0</v>
      </c>
    </row>
    <row r="170">
      <c r="A170" s="7" t="inlineStr">
        <is>
          <t>us-gaap:DebtSecuritiesAvailableForSaleUnrealizedLossPosition</t>
        </is>
      </c>
      <c r="B170" s="15" t="n">
        <v>7435</v>
      </c>
      <c r="C170" s="17" t="n">
        <v>9501</v>
      </c>
      <c r="D170" s="8" t="inlineStr">
        <is>
          <t>None</t>
        </is>
      </c>
      <c r="E170" s="8" t="n">
        <v>0</v>
      </c>
    </row>
    <row r="171">
      <c r="A171" s="7" t="inlineStr">
        <is>
          <t>us-gaap:DebtSecuritiesAvailableForSaleUnrealizedLossPosition</t>
        </is>
      </c>
      <c r="B171" s="7" t="n">
        <v>281</v>
      </c>
      <c r="C171" s="8" t="n">
        <v>264</v>
      </c>
      <c r="D171" s="8" t="inlineStr">
        <is>
          <t>None</t>
        </is>
      </c>
      <c r="E171" s="8" t="n">
        <v>0</v>
      </c>
    </row>
    <row r="172">
      <c r="A172" s="7" t="inlineStr">
        <is>
          <t>us-gaap:DebtSecuritiesAvailableForSaleUnrealizedLossPosition</t>
        </is>
      </c>
      <c r="B172" s="15" t="n">
        <v>57279</v>
      </c>
      <c r="C172" s="17" t="n">
        <v>65218</v>
      </c>
      <c r="D172" s="8" t="inlineStr">
        <is>
          <t>None</t>
        </is>
      </c>
      <c r="E172" s="8" t="n">
        <v>0</v>
      </c>
    </row>
    <row r="173">
      <c r="A173" s="7" t="inlineStr">
        <is>
          <t>us-gaap:DebtSecuritiesAvailableForSaleUnrealizedLossPositionAccumulatedLoss</t>
        </is>
      </c>
      <c r="B173" s="15" t="n">
        <v>3074</v>
      </c>
      <c r="C173" s="17" t="n">
        <v>3171</v>
      </c>
      <c r="D173" s="8" t="inlineStr">
        <is>
          <t>None</t>
        </is>
      </c>
      <c r="E173" s="8" t="n">
        <v>1</v>
      </c>
    </row>
    <row r="174">
      <c r="A174" s="7" t="inlineStr">
        <is>
          <t>us-gaap:DebtSecuritiesAvailableForSaleUnrealizedLossPositionAccumulatedLoss</t>
        </is>
      </c>
      <c r="B174" s="15" t="n">
        <v>341</v>
      </c>
      <c r="C174" s="17" t="n">
        <v>552</v>
      </c>
      <c r="D174" s="8" t="inlineStr">
        <is>
          <t>None</t>
        </is>
      </c>
      <c r="E174" s="8" t="n">
        <v>1</v>
      </c>
    </row>
    <row r="175">
      <c r="A175" s="7" t="inlineStr">
        <is>
          <t>us-gaap:DebtSecuritiesAvailableForSaleUnrealizedLossPositionAccumulatedLoss</t>
        </is>
      </c>
      <c r="B175" s="15" t="n">
        <v>30</v>
      </c>
      <c r="C175" s="17" t="n">
        <v>22</v>
      </c>
      <c r="D175" s="8" t="inlineStr">
        <is>
          <t>None</t>
        </is>
      </c>
      <c r="E175" s="8" t="n">
        <v>1</v>
      </c>
    </row>
    <row r="176">
      <c r="A176" s="7" t="inlineStr">
        <is>
          <t>us-gaap:DeferredIncomeTaxLiabilitiesNet</t>
        </is>
      </c>
      <c r="B176" s="15" t="n">
        <v>2469</v>
      </c>
      <c r="C176" s="17" t="n">
        <v>302</v>
      </c>
      <c r="D176" s="8" t="inlineStr">
        <is>
          <t>None</t>
        </is>
      </c>
      <c r="E176" s="8" t="n">
        <v>0</v>
      </c>
    </row>
    <row r="177">
      <c r="A177" s="7" t="inlineStr">
        <is>
          <t>us-gaap:DerivativeAssetFairValueGrossAssetIncludingNotSubjectToMasterNettingArrangement</t>
        </is>
      </c>
      <c r="B177" s="15" t="n">
        <v>38</v>
      </c>
      <c r="C177" s="17" t="n">
        <v>19</v>
      </c>
      <c r="D177" s="8" t="inlineStr">
        <is>
          <t>None</t>
        </is>
      </c>
      <c r="E177" s="8" t="n">
        <v>1</v>
      </c>
    </row>
    <row r="178">
      <c r="A178" s="7" t="inlineStr">
        <is>
          <t>us-gaap:DerivativeAssetFairValueGrossAssetIncludingNotSubjectToMasterNettingArrangement</t>
        </is>
      </c>
      <c r="B178" s="15" t="n">
        <v>6</v>
      </c>
      <c r="C178" s="17" t="n">
        <v>6</v>
      </c>
      <c r="D178" s="8" t="inlineStr">
        <is>
          <t>None</t>
        </is>
      </c>
      <c r="E178" s="8" t="n">
        <v>1</v>
      </c>
    </row>
    <row r="179">
      <c r="A179" s="7" t="inlineStr">
        <is>
          <t>us-gaap:DerivativeAssetFairValueGrossAssetIncludingNotSubjectToMasterNettingArrangement</t>
        </is>
      </c>
      <c r="B179" s="7" t="n">
        <v>121</v>
      </c>
      <c r="C179" s="8" t="n">
        <v>278</v>
      </c>
      <c r="D179" s="8" t="inlineStr">
        <is>
          <t>None</t>
        </is>
      </c>
      <c r="E179" s="8" t="n">
        <v>0</v>
      </c>
    </row>
    <row r="180">
      <c r="A180" s="7" t="inlineStr">
        <is>
          <t>us-gaap:DerivativeAssetFairValueGrossAssetIncludingNotSubjectToMasterNettingArrangement</t>
        </is>
      </c>
      <c r="B180" s="15" t="n">
        <v>72</v>
      </c>
      <c r="C180" s="17" t="n">
        <v>217</v>
      </c>
      <c r="D180" s="8" t="inlineStr">
        <is>
          <t>None</t>
        </is>
      </c>
      <c r="E180" s="8" t="n">
        <v>0</v>
      </c>
    </row>
    <row r="181">
      <c r="A181" s="7" t="inlineStr">
        <is>
          <t>us-gaap:DerivativeAssetFairValueGrossAssetIncludingNotSubjectToMasterNettingArrangement</t>
        </is>
      </c>
      <c r="B181" s="15" t="n">
        <v>5</v>
      </c>
      <c r="C181" s="17" t="n">
        <v>520</v>
      </c>
      <c r="D181" s="8" t="inlineStr">
        <is>
          <t>None</t>
        </is>
      </c>
      <c r="E181" t="n">
        <v>1</v>
      </c>
    </row>
    <row r="182">
      <c r="A182" s="7" t="inlineStr">
        <is>
          <t>us-gaap:DerivativeAssetFairValueGrossAssetIncludingNotSubjectToMasterNettingArrangement</t>
        </is>
      </c>
      <c r="B182" s="15" t="n">
        <v>242</v>
      </c>
      <c r="C182" s="17" t="n">
        <v>4</v>
      </c>
      <c r="D182" s="8" t="inlineStr">
        <is>
          <t>None</t>
        </is>
      </c>
      <c r="E182" t="n">
        <v>1</v>
      </c>
    </row>
    <row r="183">
      <c r="A183" s="7" t="inlineStr">
        <is>
          <t>us-gaap:DerivativeAssetFairValueGrossAssetIncludingNotSubjectToMasterNettingArrangement</t>
        </is>
      </c>
      <c r="B183" s="15" t="n">
        <v>0</v>
      </c>
      <c r="C183" s="17" t="n">
        <v>507</v>
      </c>
      <c r="D183" s="8" t="inlineStr">
        <is>
          <t>None</t>
        </is>
      </c>
      <c r="E183" t="n">
        <v>1</v>
      </c>
    </row>
    <row r="184">
      <c r="A184" s="7" t="inlineStr">
        <is>
          <t>us-gaap:DerivativeAssetFairValueGrossAssetIncludingNotSubjectToMasterNettingArrangement</t>
        </is>
      </c>
      <c r="B184" s="15" t="n">
        <v>233</v>
      </c>
      <c r="C184" s="17" t="n">
        <v>9</v>
      </c>
      <c r="D184" s="8" t="inlineStr">
        <is>
          <t>None</t>
        </is>
      </c>
      <c r="E184" t="n">
        <v>0</v>
      </c>
    </row>
    <row r="185">
      <c r="A185" s="7" t="inlineStr">
        <is>
          <t>us-gaap:DerivativeAssetFairValueGrossLiability</t>
        </is>
      </c>
      <c r="B185" s="15" t="n">
        <v>125</v>
      </c>
      <c r="C185" s="17" t="n">
        <v>265</v>
      </c>
      <c r="D185" s="8" t="inlineStr">
        <is>
          <t>None</t>
        </is>
      </c>
      <c r="E185" t="n">
        <v>0</v>
      </c>
    </row>
    <row r="186">
      <c r="A186" s="7" t="inlineStr">
        <is>
          <t>us-gaap:DerivativeAssets</t>
        </is>
      </c>
      <c r="B186" s="15" t="n">
        <v>8</v>
      </c>
      <c r="C186" s="17" t="n">
        <v>8</v>
      </c>
      <c r="D186" s="8" t="inlineStr">
        <is>
          <t>None</t>
        </is>
      </c>
      <c r="E186" t="n">
        <v>1</v>
      </c>
    </row>
    <row r="187">
      <c r="A187" s="7" t="inlineStr">
        <is>
          <t>us-gaap:DerivativeAssets</t>
        </is>
      </c>
      <c r="B187" s="15" t="n">
        <v>117</v>
      </c>
      <c r="C187" s="17" t="n">
        <v>255</v>
      </c>
      <c r="D187" s="8" t="inlineStr">
        <is>
          <t>None</t>
        </is>
      </c>
      <c r="E187" t="n">
        <v>0</v>
      </c>
    </row>
    <row r="188">
      <c r="A188" s="7" t="inlineStr">
        <is>
          <t>us-gaap:DerivativeAssets</t>
        </is>
      </c>
      <c r="B188" s="15" t="n">
        <v>103</v>
      </c>
      <c r="C188" s="17" t="n">
        <v>243</v>
      </c>
      <c r="D188" s="8" t="inlineStr">
        <is>
          <t>None</t>
        </is>
      </c>
      <c r="E188" t="n">
        <v>0</v>
      </c>
    </row>
    <row r="189">
      <c r="A189" s="7" t="inlineStr">
        <is>
          <t>us-gaap:DerivativeAssets</t>
        </is>
      </c>
      <c r="B189" s="15" t="n">
        <v>6</v>
      </c>
      <c r="C189" s="17" t="n">
        <v>4</v>
      </c>
      <c r="D189" s="8" t="inlineStr">
        <is>
          <t>None</t>
        </is>
      </c>
      <c r="E189" t="n">
        <v>1</v>
      </c>
    </row>
    <row r="190">
      <c r="A190" s="7" t="inlineStr">
        <is>
          <t>us-gaap:DerivativeCollateralObligationToReturnCash</t>
        </is>
      </c>
      <c r="B190" s="8" t="n">
        <v>17</v>
      </c>
      <c r="C190" s="8" t="n">
        <v>26</v>
      </c>
      <c r="D190" s="8" t="inlineStr">
        <is>
          <t>None</t>
        </is>
      </c>
      <c r="E190" t="n">
        <v>1</v>
      </c>
    </row>
    <row r="191">
      <c r="A191" s="7" t="inlineStr">
        <is>
          <t>us-gaap:DerivativeFairValueOfDerivativeAsset</t>
        </is>
      </c>
      <c r="B191" s="15" t="n">
        <v>226</v>
      </c>
      <c r="C191" s="17" t="n">
        <v>496</v>
      </c>
      <c r="D191" s="8" t="inlineStr">
        <is>
          <t>None</t>
        </is>
      </c>
      <c r="E191" t="n">
        <v>1</v>
      </c>
    </row>
    <row r="192">
      <c r="A192" s="7" t="inlineStr">
        <is>
          <t>us-gaap:DerivativeFairValueOfDerivativeLiability</t>
        </is>
      </c>
      <c r="B192" s="8" t="n">
        <v>786</v>
      </c>
      <c r="C192" s="8" t="n">
        <v>720</v>
      </c>
      <c r="D192" s="8" t="inlineStr">
        <is>
          <t>None</t>
        </is>
      </c>
      <c r="E192" t="n">
        <v>0</v>
      </c>
    </row>
    <row r="193">
      <c r="A193" s="7" t="inlineStr">
        <is>
          <t>us-gaap:DerivativeLiabilities</t>
        </is>
      </c>
      <c r="B193" s="15" t="n">
        <v>678</v>
      </c>
      <c r="C193" s="17" t="n">
        <v>484</v>
      </c>
      <c r="D193" s="8" t="inlineStr">
        <is>
          <t>None</t>
        </is>
      </c>
      <c r="E193" t="n">
        <v>0</v>
      </c>
    </row>
    <row r="194">
      <c r="A194" s="7" t="inlineStr">
        <is>
          <t>us-gaap:DerivativeLiabilities</t>
        </is>
      </c>
      <c r="B194" s="15" t="n">
        <v>271</v>
      </c>
      <c r="C194" s="17" t="n">
        <v>188</v>
      </c>
      <c r="D194" s="8" t="inlineStr">
        <is>
          <t>None</t>
        </is>
      </c>
      <c r="E194" t="n">
        <v>0</v>
      </c>
    </row>
    <row r="195">
      <c r="A195" s="7" t="inlineStr">
        <is>
          <t>us-gaap:DerivativeLiabilities</t>
        </is>
      </c>
      <c r="B195" s="15" t="n">
        <v>407</v>
      </c>
      <c r="C195" s="17" t="n">
        <v>296</v>
      </c>
      <c r="D195" s="8" t="inlineStr">
        <is>
          <t>None</t>
        </is>
      </c>
      <c r="E195" t="n">
        <v>0</v>
      </c>
    </row>
    <row r="196">
      <c r="A196" s="8" t="inlineStr">
        <is>
          <t>us-gaap:DerivativeLiabilityFairValueGrossAsset</t>
        </is>
      </c>
      <c r="B196" s="15" t="n">
        <v>126</v>
      </c>
      <c r="C196" s="17" t="n">
        <v>263</v>
      </c>
      <c r="D196" s="8" t="inlineStr">
        <is>
          <t>None</t>
        </is>
      </c>
      <c r="E196" t="n">
        <v>0</v>
      </c>
    </row>
    <row r="197">
      <c r="A197" s="8" t="inlineStr">
        <is>
          <t>us-gaap:DerivativeLiabilityFairValueGrossLiabilityIncludingNotSubjectToMasterNettingArrangement</t>
        </is>
      </c>
      <c r="B197" s="15" t="n">
        <v>68</v>
      </c>
      <c r="C197" s="17" t="n">
        <v>77</v>
      </c>
      <c r="D197" s="8" t="inlineStr">
        <is>
          <t>None</t>
        </is>
      </c>
      <c r="E197" t="n">
        <v>1</v>
      </c>
    </row>
    <row r="198">
      <c r="A198" s="8" t="inlineStr">
        <is>
          <t>us-gaap:DerivativeLiabilityFairValueGrossLiabilityIncludingNotSubjectToMasterNettingArrangement</t>
        </is>
      </c>
      <c r="B198" s="15" t="n">
        <v>192</v>
      </c>
      <c r="C198" s="17" t="n">
        <v>333</v>
      </c>
      <c r="D198" s="8" t="inlineStr">
        <is>
          <t>None</t>
        </is>
      </c>
      <c r="E198" t="n">
        <v>0</v>
      </c>
    </row>
    <row r="199">
      <c r="A199" s="8" t="inlineStr">
        <is>
          <t>us-gaap:DerivativeLiabilityFairValueGrossLiabilityIncludingNotSubjectToMasterNettingArrangement</t>
        </is>
      </c>
      <c r="B199" s="15" t="n">
        <v>526</v>
      </c>
      <c r="C199" s="17" t="n">
        <v>311</v>
      </c>
      <c r="D199" s="8" t="inlineStr">
        <is>
          <t>None</t>
        </is>
      </c>
      <c r="E199" t="n">
        <v>0</v>
      </c>
    </row>
    <row r="200">
      <c r="A200" s="8" t="inlineStr">
        <is>
          <t>us-gaap:DerivativeLiabilityFairValueGrossLiabilityIncludingNotSubjectToMasterNettingArrangement</t>
        </is>
      </c>
      <c r="B200" s="15" t="n">
        <v>1</v>
      </c>
      <c r="C200" s="17" t="n">
        <v>721</v>
      </c>
      <c r="D200" s="8" t="inlineStr">
        <is>
          <t>None</t>
        </is>
      </c>
      <c r="E200" t="n">
        <v>1</v>
      </c>
    </row>
    <row r="201">
      <c r="A201" s="8" t="inlineStr">
        <is>
          <t>us-gaap:DerivativeLiabilityFairValueGrossLiabilityIncludingNotSubjectToMasterNettingArrangement</t>
        </is>
      </c>
      <c r="B201" s="15" t="n">
        <v>787</v>
      </c>
      <c r="C201" s="17" t="n">
        <v>0</v>
      </c>
      <c r="D201" s="8" t="inlineStr">
        <is>
          <t>None</t>
        </is>
      </c>
      <c r="E201" t="n">
        <v>1</v>
      </c>
    </row>
    <row r="202">
      <c r="A202" s="7" t="inlineStr">
        <is>
          <t>us-gaap:DerivativeLiabilityFairValueGrossLiabilityIncludingNotSubjectToMasterNettingArrangement</t>
        </is>
      </c>
      <c r="B202" s="15" t="n">
        <v>0</v>
      </c>
      <c r="C202" s="17" t="n">
        <v>721</v>
      </c>
      <c r="D202" s="8" t="inlineStr">
        <is>
          <t>None</t>
        </is>
      </c>
      <c r="E202" t="n">
        <v>1</v>
      </c>
    </row>
    <row r="203">
      <c r="A203" s="8" t="inlineStr">
        <is>
          <t>us-gaap:DerivativeNotionalAmount</t>
        </is>
      </c>
      <c r="B203" s="15" t="n">
        <v>1492</v>
      </c>
      <c r="C203" s="17" t="n">
        <v>1492</v>
      </c>
      <c r="D203" s="8" t="inlineStr">
        <is>
          <t>None</t>
        </is>
      </c>
      <c r="E203" t="n">
        <v>0</v>
      </c>
    </row>
    <row r="204">
      <c r="A204" s="8" t="inlineStr">
        <is>
          <t>us-gaap:DerivativeNotionalAmount</t>
        </is>
      </c>
      <c r="B204" s="9" t="n">
        <v>1109</v>
      </c>
      <c r="C204" s="9" t="n">
        <v>1108</v>
      </c>
      <c r="D204" s="8" t="inlineStr">
        <is>
          <t>None</t>
        </is>
      </c>
      <c r="E204" t="n">
        <v>0</v>
      </c>
    </row>
    <row r="205">
      <c r="A205" s="8" t="inlineStr">
        <is>
          <t>us-gaap:DerivativeNotionalAmount</t>
        </is>
      </c>
      <c r="B205" s="9" t="n">
        <v>9245</v>
      </c>
      <c r="C205" s="9" t="n">
        <v>10232</v>
      </c>
      <c r="D205" s="8" t="inlineStr">
        <is>
          <t>None</t>
        </is>
      </c>
      <c r="E205" t="n">
        <v>0</v>
      </c>
    </row>
    <row r="206">
      <c r="A206" s="7" t="inlineStr">
        <is>
          <t>us-gaap:DerivativeNotionalAmount</t>
        </is>
      </c>
      <c r="B206" s="9" t="n">
        <v>23116</v>
      </c>
      <c r="C206" s="9" t="n">
        <v>20460</v>
      </c>
      <c r="D206" s="8" t="inlineStr">
        <is>
          <t>None</t>
        </is>
      </c>
      <c r="E206" t="n">
        <v>0</v>
      </c>
    </row>
    <row r="207">
      <c r="A207" s="7" t="inlineStr">
        <is>
          <t>us-gaap:DerivativeNotionalAmount</t>
        </is>
      </c>
      <c r="B207" s="9" t="n">
        <v>3939</v>
      </c>
      <c r="C207" s="9" t="n">
        <v>4787</v>
      </c>
      <c r="D207" s="8" t="inlineStr">
        <is>
          <t>None</t>
        </is>
      </c>
      <c r="E207" t="n">
        <v>0</v>
      </c>
    </row>
    <row r="208">
      <c r="A208" s="7" t="inlineStr">
        <is>
          <t>us-gaap:DerivativeNotionalAmount</t>
        </is>
      </c>
      <c r="B208" s="9" t="n">
        <v>2152</v>
      </c>
      <c r="C208" s="9" t="n">
        <v>2952</v>
      </c>
      <c r="D208" s="8" t="inlineStr">
        <is>
          <t>None</t>
        </is>
      </c>
      <c r="E208" t="n">
        <v>0</v>
      </c>
    </row>
    <row r="209">
      <c r="A209" s="7" t="inlineStr">
        <is>
          <t>us-gaap:EmployeeRelatedLiabilitiesCurrent</t>
        </is>
      </c>
      <c r="B209" s="9" t="n">
        <v>10432</v>
      </c>
      <c r="C209" s="9" t="n">
        <v>10411</v>
      </c>
      <c r="D209" s="8" t="inlineStr">
        <is>
          <t>None</t>
        </is>
      </c>
      <c r="E209" t="n">
        <v>0</v>
      </c>
    </row>
    <row r="210">
      <c r="A210" s="7" t="inlineStr">
        <is>
          <t>us-gaap:EquitySecuritiesFVNINoncurrent</t>
        </is>
      </c>
      <c r="B210" s="9" t="n">
        <v>3340</v>
      </c>
      <c r="C210" s="9" t="n">
        <v>3475</v>
      </c>
      <c r="D210" s="8" t="inlineStr">
        <is>
          <t>None</t>
        </is>
      </c>
      <c r="E210" t="n">
        <v>0</v>
      </c>
    </row>
    <row r="211">
      <c r="A211" s="7" t="inlineStr">
        <is>
          <t>us-gaap:EquitySecuritiesFVNINoncurrent</t>
        </is>
      </c>
      <c r="B211" s="9" t="n">
        <v>10225</v>
      </c>
      <c r="C211" s="9" t="n">
        <v>6919</v>
      </c>
      <c r="D211" s="8" t="inlineStr">
        <is>
          <t>None</t>
        </is>
      </c>
      <c r="E211" t="n">
        <v>0</v>
      </c>
    </row>
    <row r="212">
      <c r="A212" s="7" t="inlineStr">
        <is>
          <t>us-gaap:EquitySecuritiesFVNINoncurrent</t>
        </is>
      </c>
      <c r="B212" s="9" t="n">
        <v>13565</v>
      </c>
      <c r="C212" s="9" t="n">
        <v>10394</v>
      </c>
      <c r="D212" s="8" t="inlineStr">
        <is>
          <t>None</t>
        </is>
      </c>
      <c r="E212" t="n">
        <v>0</v>
      </c>
    </row>
    <row r="213">
      <c r="A213" s="8" t="inlineStr">
        <is>
          <t>us-gaap:EquitySecuritiesWithoutReadilyDeterminableFairValueAmount</t>
        </is>
      </c>
      <c r="B213" s="9" t="n">
        <v>4</v>
      </c>
      <c r="C213" s="9" t="n">
        <v>4.1</v>
      </c>
      <c r="D213" s="8" t="inlineStr">
        <is>
          <t>None</t>
        </is>
      </c>
      <c r="E213" t="n">
        <v>1</v>
      </c>
    </row>
    <row r="214">
      <c r="A214" s="8" t="inlineStr">
        <is>
          <t>us-gaap:FinanceLeaseLiability</t>
        </is>
      </c>
      <c r="B214" s="9" t="n">
        <v>1869</v>
      </c>
      <c r="C214" s="9" t="n">
        <v>1153</v>
      </c>
      <c r="D214" s="8" t="inlineStr">
        <is>
          <t>None</t>
        </is>
      </c>
      <c r="E214" t="n">
        <v>1</v>
      </c>
    </row>
    <row r="215">
      <c r="A215" s="8" t="inlineStr">
        <is>
          <t>us-gaap:FinanceLeaseLiability</t>
        </is>
      </c>
      <c r="B215" s="9" t="n">
        <v>21036</v>
      </c>
      <c r="C215" s="9" t="n">
        <v>15310</v>
      </c>
      <c r="D215" s="8" t="inlineStr">
        <is>
          <t>None</t>
        </is>
      </c>
      <c r="E215" t="n">
        <v>0</v>
      </c>
    </row>
    <row r="216">
      <c r="A216" s="8" t="inlineStr">
        <is>
          <t>us-gaap:FinanceLeaseLiability</t>
        </is>
      </c>
      <c r="B216" s="9" t="n">
        <v>22905</v>
      </c>
      <c r="C216" s="9" t="n">
        <v>16463</v>
      </c>
      <c r="D216" s="8" t="inlineStr">
        <is>
          <t>None</t>
        </is>
      </c>
      <c r="E216" t="n">
        <v>0</v>
      </c>
    </row>
    <row r="217">
      <c r="A217" s="8" t="inlineStr">
        <is>
          <t>us-gaap:FinanceLeaseLiabilityPaymentsDue</t>
        </is>
      </c>
      <c r="B217" s="9" t="n">
        <v>28528</v>
      </c>
      <c r="C217" s="9" t="n">
        <v>19969</v>
      </c>
      <c r="D217" s="8" t="inlineStr">
        <is>
          <t>None</t>
        </is>
      </c>
      <c r="E217" t="n">
        <v>0</v>
      </c>
    </row>
    <row r="218">
      <c r="A218" s="7" t="inlineStr">
        <is>
          <t>us-gaap:FinanceLeaseLiabilityPaymentsDueNextTwelveMonths</t>
        </is>
      </c>
      <c r="B218" s="9" t="n">
        <v>2694</v>
      </c>
      <c r="C218" s="9" t="n">
        <v>1706</v>
      </c>
      <c r="D218" s="8" t="inlineStr">
        <is>
          <t>None</t>
        </is>
      </c>
      <c r="E218" t="n">
        <v>0</v>
      </c>
    </row>
    <row r="219">
      <c r="A219" s="7" t="inlineStr">
        <is>
          <t>us-gaap:FinanceLeaseLiabilityPaymentsDueYearFour</t>
        </is>
      </c>
      <c r="B219" s="9" t="n">
        <v>2409</v>
      </c>
      <c r="C219" s="9" t="n">
        <v>1720</v>
      </c>
      <c r="D219" s="8" t="inlineStr">
        <is>
          <t>None</t>
        </is>
      </c>
      <c r="E219" t="n">
        <v>1</v>
      </c>
    </row>
    <row r="220">
      <c r="A220" s="7" t="inlineStr">
        <is>
          <t>us-gaap:FinanceLeaseLiabilityPaymentsDueYearThree</t>
        </is>
      </c>
      <c r="B220" s="9" t="n">
        <v>2409</v>
      </c>
      <c r="C220" s="9" t="n">
        <v>1710</v>
      </c>
      <c r="D220" s="8" t="inlineStr">
        <is>
          <t>None</t>
        </is>
      </c>
      <c r="E220" t="n">
        <v>1</v>
      </c>
    </row>
    <row r="221">
      <c r="A221" s="7" t="inlineStr">
        <is>
          <t>us-gaap:FinanceLeaseLiabilityPaymentsDueYearTwo</t>
        </is>
      </c>
      <c r="B221" s="9" t="n">
        <v>2398</v>
      </c>
      <c r="C221" s="9" t="n">
        <v>2025</v>
      </c>
      <c r="D221" s="8" t="inlineStr">
        <is>
          <t>None</t>
        </is>
      </c>
      <c r="E221" t="n">
        <v>0</v>
      </c>
    </row>
    <row r="222">
      <c r="A222" s="7" t="inlineStr">
        <is>
          <t>us-gaap:FinanceLeaseLiabilityPaymentsRemainderOfFiscalYear</t>
        </is>
      </c>
      <c r="B222" s="9" t="n">
        <v>560</v>
      </c>
      <c r="C222" s="9" t="n">
        <v>413</v>
      </c>
      <c r="D222" s="8" t="inlineStr">
        <is>
          <t>None</t>
        </is>
      </c>
      <c r="E222" t="n">
        <v>0</v>
      </c>
    </row>
    <row r="223">
      <c r="A223" s="8" t="inlineStr">
        <is>
          <t>us-gaap:FinanceLeaseLiabilityUndiscountedExcessAmount</t>
        </is>
      </c>
      <c r="B223" s="9" t="n">
        <v>5623</v>
      </c>
      <c r="C223" s="9" t="n">
        <v>3506</v>
      </c>
      <c r="D223" s="8" t="inlineStr">
        <is>
          <t>None</t>
        </is>
      </c>
      <c r="E223" t="n">
        <v>0</v>
      </c>
    </row>
    <row r="224">
      <c r="A224" s="8" t="inlineStr">
        <is>
          <t>us-gaap:FinanceLeaseWeightedAverageDiscountRatePercent</t>
        </is>
      </c>
      <c r="B224" s="9" t="n">
        <v>3.8</v>
      </c>
      <c r="C224" s="9" t="n">
        <v>3.4</v>
      </c>
      <c r="D224" s="8" t="inlineStr">
        <is>
          <t>None</t>
        </is>
      </c>
      <c r="E224" t="n">
        <v>1</v>
      </c>
    </row>
    <row r="225">
      <c r="A225" s="8" t="inlineStr">
        <is>
          <t>us-gaap:FinanceLeaseWeightedAverageRemainingLeaseTerm1</t>
        </is>
      </c>
      <c r="B225" s="9" t="n">
        <v>12</v>
      </c>
      <c r="C225" s="9" t="n">
        <v>11</v>
      </c>
      <c r="D225" s="8" t="inlineStr">
        <is>
          <t>None</t>
        </is>
      </c>
      <c r="E225" t="n">
        <v>1</v>
      </c>
    </row>
    <row r="226">
      <c r="A226" s="7" t="inlineStr">
        <is>
          <t>us-gaap:FiniteLivedIntangibleAssetsAccumulatedAmortization</t>
        </is>
      </c>
      <c r="B226" s="9" t="n">
        <v>2945</v>
      </c>
      <c r="C226" s="9" t="n">
        <v>7366</v>
      </c>
      <c r="D226" s="8" t="inlineStr">
        <is>
          <t>None</t>
        </is>
      </c>
      <c r="E226" t="n">
        <v>1</v>
      </c>
    </row>
    <row r="227">
      <c r="A227" s="7" t="inlineStr">
        <is>
          <t>us-gaap:FiniteLivedIntangibleAssetsAccumulatedAmortization</t>
        </is>
      </c>
      <c r="B227" s="9" t="n">
        <v>9721</v>
      </c>
      <c r="C227" s="9" t="n">
        <v>3837</v>
      </c>
      <c r="D227" s="8" t="inlineStr">
        <is>
          <t>None</t>
        </is>
      </c>
      <c r="E227" t="n">
        <v>0</v>
      </c>
    </row>
    <row r="228">
      <c r="A228" s="7" t="inlineStr">
        <is>
          <t>us-gaap:FiniteLivedIntangibleAssetsAccumulatedAmortization</t>
        </is>
      </c>
      <c r="B228" s="9" t="n">
        <v>2853</v>
      </c>
      <c r="C228" s="9" t="n">
        <v>2393</v>
      </c>
      <c r="D228" s="8" t="inlineStr">
        <is>
          <t>None</t>
        </is>
      </c>
      <c r="E228" t="n">
        <v>0</v>
      </c>
    </row>
    <row r="229">
      <c r="A229" s="7" t="inlineStr">
        <is>
          <t>us-gaap:FiniteLivedIntangibleAssetsAccumulatedAmortization</t>
        </is>
      </c>
      <c r="B229" s="9" t="n">
        <v>22</v>
      </c>
      <c r="C229" s="9" t="n">
        <v>13</v>
      </c>
      <c r="D229" s="8" t="inlineStr">
        <is>
          <t>None</t>
        </is>
      </c>
      <c r="E229" t="n">
        <v>1</v>
      </c>
    </row>
    <row r="230">
      <c r="A230" s="7" t="inlineStr">
        <is>
          <t>us-gaap:FiniteLivedIntangibleAssetsAccumulatedAmortization</t>
        </is>
      </c>
      <c r="B230" s="9" t="n">
        <v>15541</v>
      </c>
      <c r="C230" s="9" t="n">
        <v>13609</v>
      </c>
      <c r="D230" s="8" t="inlineStr">
        <is>
          <t>None</t>
        </is>
      </c>
      <c r="E230" t="n">
        <v>0</v>
      </c>
    </row>
    <row r="231">
      <c r="A231" s="7" t="inlineStr">
        <is>
          <t>us-gaap:FiniteLivedIntangibleAssetsAmortizationExpenseNextTwelveMonths</t>
        </is>
      </c>
      <c r="B231" s="9" t="n">
        <v>5860</v>
      </c>
      <c r="C231" s="9" t="n">
        <v>2403</v>
      </c>
      <c r="D231" s="8" t="inlineStr">
        <is>
          <t>None</t>
        </is>
      </c>
      <c r="E231" t="n">
        <v>0</v>
      </c>
    </row>
    <row r="232">
      <c r="A232" s="7" t="inlineStr">
        <is>
          <t>us-gaap:FiniteLivedIntangibleAssetsAmortizationExpenseRemainderOfFiscalYear</t>
        </is>
      </c>
      <c r="B232" s="9" t="n">
        <v>1454</v>
      </c>
      <c r="C232" s="9" t="n">
        <v>628</v>
      </c>
      <c r="D232" s="8" t="inlineStr">
        <is>
          <t>None</t>
        </is>
      </c>
      <c r="E232" t="n">
        <v>0</v>
      </c>
    </row>
    <row r="233">
      <c r="A233" s="8" t="inlineStr">
        <is>
          <t>us-gaap:FiniteLivedIntangibleAssetsAmortizationExpenseYearFour</t>
        </is>
      </c>
      <c r="B233" s="9" t="n">
        <v>1869</v>
      </c>
      <c r="C233" s="9" t="n">
        <v>900</v>
      </c>
      <c r="D233" s="8" t="inlineStr">
        <is>
          <t>None</t>
        </is>
      </c>
      <c r="E233" t="n">
        <v>1</v>
      </c>
    </row>
    <row r="234">
      <c r="A234" s="8" t="inlineStr">
        <is>
          <t>us-gaap:FiniteLivedIntangibleAssetsAmortizationExpenseYearThree</t>
        </is>
      </c>
      <c r="B234" s="9" t="n">
        <v>2777</v>
      </c>
      <c r="C234" s="9" t="n">
        <v>1341</v>
      </c>
      <c r="D234" s="8" t="inlineStr">
        <is>
          <t>None</t>
        </is>
      </c>
      <c r="E234" t="n">
        <v>0</v>
      </c>
    </row>
    <row r="235">
      <c r="A235" s="7" t="inlineStr">
        <is>
          <t>us-gaap:FiniteLivedIntangibleAssetsAmortizationExpenseYearTwo</t>
        </is>
      </c>
      <c r="B235" s="9" t="n">
        <v>4436</v>
      </c>
      <c r="C235" s="9" t="n">
        <v>1869</v>
      </c>
      <c r="D235" s="8" t="inlineStr">
        <is>
          <t>None</t>
        </is>
      </c>
      <c r="E235" t="n">
        <v>0</v>
      </c>
    </row>
    <row r="236">
      <c r="A236" s="7" t="inlineStr">
        <is>
          <t>us-gaap:FiniteLivedIntangibleAssetsGross</t>
        </is>
      </c>
      <c r="B236" s="9" t="n">
        <v>16549</v>
      </c>
      <c r="C236" s="9" t="n">
        <v>11228</v>
      </c>
      <c r="D236" s="8" t="inlineStr">
        <is>
          <t>None</t>
        </is>
      </c>
      <c r="E236" t="n">
        <v>0</v>
      </c>
    </row>
    <row r="237">
      <c r="A237" s="7" t="inlineStr">
        <is>
          <t>us-gaap:FiniteLivedIntangibleAssetsGross</t>
        </is>
      </c>
      <c r="B237" s="9" t="n">
        <v>21735</v>
      </c>
      <c r="C237" s="9" t="n">
        <v>7308</v>
      </c>
      <c r="D237" s="8" t="inlineStr">
        <is>
          <t>None</t>
        </is>
      </c>
      <c r="E237" t="n">
        <v>0</v>
      </c>
    </row>
    <row r="238">
      <c r="A238" s="8" t="inlineStr">
        <is>
          <t>us-gaap:FiniteLivedIntangibleAssetsGross</t>
        </is>
      </c>
      <c r="B238" s="9" t="n">
        <v>6049</v>
      </c>
      <c r="C238" s="9" t="n">
        <v>4929</v>
      </c>
      <c r="D238" s="8" t="inlineStr">
        <is>
          <t>None</t>
        </is>
      </c>
      <c r="E238" t="n">
        <v>0</v>
      </c>
    </row>
    <row r="239">
      <c r="A239" s="8" t="inlineStr">
        <is>
          <t>us-gaap:FiniteLivedIntangibleAssetsGross</t>
        </is>
      </c>
      <c r="B239" s="9" t="n">
        <v>36</v>
      </c>
      <c r="C239" s="9" t="n">
        <v>23</v>
      </c>
      <c r="D239" s="8" t="inlineStr">
        <is>
          <t>None</t>
        </is>
      </c>
      <c r="E239" t="n">
        <v>1</v>
      </c>
    </row>
    <row r="240">
      <c r="A240" s="8" t="inlineStr">
        <is>
          <t>us-gaap:FiniteLivedIntangibleAssetsGross</t>
        </is>
      </c>
      <c r="B240" s="9" t="n">
        <v>44369</v>
      </c>
      <c r="C240" s="9" t="n">
        <v>23488</v>
      </c>
      <c r="D240" s="8" t="inlineStr">
        <is>
          <t>None</t>
        </is>
      </c>
      <c r="E240" t="n">
        <v>0</v>
      </c>
    </row>
    <row r="241">
      <c r="A241" s="7" t="inlineStr">
        <is>
          <t>us-gaap:FiniteLivedIntangibleAssetsNet</t>
        </is>
      </c>
      <c r="B241" s="9" t="n">
        <v>28828</v>
      </c>
      <c r="C241" s="9" t="n">
        <v>9879</v>
      </c>
      <c r="D241" s="8" t="inlineStr">
        <is>
          <t>None</t>
        </is>
      </c>
      <c r="E241" t="n">
        <v>0</v>
      </c>
    </row>
    <row r="242">
      <c r="A242" s="8" t="inlineStr">
        <is>
          <t>us-gaap:FiniteLivedIntangibleAssetsNet</t>
        </is>
      </c>
      <c r="B242" s="9" t="n">
        <v>13604</v>
      </c>
      <c r="C242" s="9" t="n">
        <v>3862</v>
      </c>
      <c r="D242" s="8" t="inlineStr">
        <is>
          <t>None</t>
        </is>
      </c>
      <c r="E242" t="n">
        <v>0</v>
      </c>
    </row>
    <row r="243">
      <c r="A243" s="8" t="inlineStr">
        <is>
          <t>us-gaap:FiniteLivedIntangibleAssetsNet</t>
        </is>
      </c>
      <c r="B243" s="9" t="n">
        <v>12014</v>
      </c>
      <c r="C243" s="9" t="n">
        <v>3471</v>
      </c>
      <c r="D243" s="8" t="inlineStr">
        <is>
          <t>None</t>
        </is>
      </c>
      <c r="E243" t="n">
        <v>0</v>
      </c>
    </row>
    <row r="244">
      <c r="A244" s="8" t="inlineStr">
        <is>
          <t>us-gaap:FiniteLivedIntangibleAssetsNet</t>
        </is>
      </c>
      <c r="B244" s="9" t="n">
        <v>3196</v>
      </c>
      <c r="C244" s="9" t="n">
        <v>2536</v>
      </c>
      <c r="D244" s="8" t="inlineStr">
        <is>
          <t>None</t>
        </is>
      </c>
      <c r="E244" t="n">
        <v>0</v>
      </c>
    </row>
    <row r="245">
      <c r="A245" s="7" t="inlineStr">
        <is>
          <t>us-gaap:FiniteLivedIntangibleAssetsNet</t>
        </is>
      </c>
      <c r="B245" s="9" t="n">
        <v>14</v>
      </c>
      <c r="C245" s="9" t="n">
        <v>10</v>
      </c>
      <c r="D245" s="8" t="inlineStr">
        <is>
          <t>None</t>
        </is>
      </c>
      <c r="E245" t="n">
        <v>1</v>
      </c>
    </row>
    <row r="246">
      <c r="A246" s="7" t="inlineStr">
        <is>
          <t>us-gaap:Goodwill</t>
        </is>
      </c>
      <c r="B246" s="9" t="n">
        <v>119163</v>
      </c>
      <c r="C246" s="9" t="n">
        <v>67940</v>
      </c>
      <c r="D246" s="8" t="inlineStr">
        <is>
          <t>None</t>
        </is>
      </c>
      <c r="E246" t="n">
        <v>0</v>
      </c>
    </row>
    <row r="247">
      <c r="A247" s="7" t="inlineStr">
        <is>
          <t>us-gaap:Goodwill</t>
        </is>
      </c>
      <c r="B247" s="9" t="n">
        <v>24778</v>
      </c>
      <c r="C247" s="9" t="n">
        <v>24795</v>
      </c>
      <c r="D247" s="8" t="inlineStr">
        <is>
          <t>None</t>
        </is>
      </c>
      <c r="E247" t="n">
        <v>0</v>
      </c>
    </row>
    <row r="248">
      <c r="A248" s="8" t="inlineStr">
        <is>
          <t>us-gaap:Goodwill</t>
        </is>
      </c>
      <c r="B248" s="9" t="n">
        <v>30452</v>
      </c>
      <c r="C248" s="9" t="n">
        <v>30492</v>
      </c>
      <c r="D248" s="8" t="inlineStr">
        <is>
          <t>None</t>
        </is>
      </c>
      <c r="E248" t="n">
        <v>0</v>
      </c>
    </row>
    <row r="249">
      <c r="A249" s="8" t="inlineStr">
        <is>
          <t>us-gaap:Goodwill</t>
        </is>
      </c>
      <c r="B249" s="9" t="n">
        <v>63933</v>
      </c>
      <c r="C249" s="9" t="n">
        <v>12653</v>
      </c>
      <c r="D249" s="8" t="inlineStr">
        <is>
          <t>None</t>
        </is>
      </c>
      <c r="E249" t="n">
        <v>0</v>
      </c>
    </row>
    <row r="250">
      <c r="A250" s="8" t="inlineStr">
        <is>
          <t>us-gaap:InventoryFinishedGoodsNetOfReserves</t>
        </is>
      </c>
      <c r="B250" s="9" t="n">
        <v>951</v>
      </c>
      <c r="C250" s="9" t="n">
        <v>1787</v>
      </c>
      <c r="D250" s="8" t="inlineStr">
        <is>
          <t>None</t>
        </is>
      </c>
      <c r="E250" t="n">
        <v>0</v>
      </c>
    </row>
    <row r="251">
      <c r="A251" s="8" t="inlineStr">
        <is>
          <t>us-gaap:InventoryNet</t>
        </is>
      </c>
      <c r="B251" s="9" t="n">
        <v>1304</v>
      </c>
      <c r="C251" s="9" t="n">
        <v>2877</v>
      </c>
      <c r="D251" s="8" t="inlineStr">
        <is>
          <t>None</t>
        </is>
      </c>
      <c r="E251" t="n">
        <v>0</v>
      </c>
    </row>
    <row r="252">
      <c r="A252" s="8" t="inlineStr">
        <is>
          <t>us-gaap:InventoryRawMaterialsNetOfReserves</t>
        </is>
      </c>
      <c r="B252" s="9" t="n">
        <v>341</v>
      </c>
      <c r="C252" s="9" t="n">
        <v>1055</v>
      </c>
      <c r="D252" s="8" t="inlineStr">
        <is>
          <t>None</t>
        </is>
      </c>
      <c r="E252" t="n">
        <v>1</v>
      </c>
    </row>
    <row r="253">
      <c r="A253" s="7" t="inlineStr">
        <is>
          <t>us-gaap:InventoryWorkInProcessNetOfReserves</t>
        </is>
      </c>
      <c r="B253" s="9" t="n">
        <v>12</v>
      </c>
      <c r="C253" s="9" t="n">
        <v>35</v>
      </c>
      <c r="D253" s="8" t="inlineStr">
        <is>
          <t>None</t>
        </is>
      </c>
      <c r="E253" t="n">
        <v>1</v>
      </c>
    </row>
    <row r="254">
      <c r="A254" s="7" t="inlineStr">
        <is>
          <t>us-gaap:LesseeFinanceLeaseLeaseNotYetCommencedTermOfContract1</t>
        </is>
      </c>
      <c r="B254" s="9" t="n">
        <v>20</v>
      </c>
      <c r="C254" s="9" t="n">
        <v>18</v>
      </c>
      <c r="D254" s="8" t="inlineStr">
        <is>
          <t>None</t>
        </is>
      </c>
      <c r="E254" t="n">
        <v>1</v>
      </c>
    </row>
    <row r="255">
      <c r="A255" s="8" t="inlineStr">
        <is>
          <t>us-gaap:LesseeFinanceLeaseRenewalTerm1</t>
        </is>
      </c>
      <c r="B255" s="9" t="n">
        <v>5</v>
      </c>
      <c r="C255" s="9" t="n">
        <v>5</v>
      </c>
      <c r="D255" s="8" t="inlineStr">
        <is>
          <t>None</t>
        </is>
      </c>
      <c r="E255" t="n">
        <v>1</v>
      </c>
    </row>
    <row r="256">
      <c r="A256" s="8" t="inlineStr">
        <is>
          <t>us-gaap:LesseeOperatingLeaseLiabilityPaymentsDue</t>
        </is>
      </c>
      <c r="B256" s="9" t="n">
        <v>20118</v>
      </c>
      <c r="C256" s="9" t="n">
        <v>16427</v>
      </c>
      <c r="D256" s="8" t="inlineStr">
        <is>
          <t>None</t>
        </is>
      </c>
      <c r="E256" t="n">
        <v>0</v>
      </c>
    </row>
    <row r="257">
      <c r="A257" s="8" t="inlineStr">
        <is>
          <t>us-gaap:LesseeOperatingLeaseLiabilityPaymentsDueNextTwelveMonths</t>
        </is>
      </c>
      <c r="B257" s="9" t="n">
        <v>3566</v>
      </c>
      <c r="C257" s="9" t="n">
        <v>2625</v>
      </c>
      <c r="D257" s="8" t="inlineStr">
        <is>
          <t>None</t>
        </is>
      </c>
      <c r="E257" t="n">
        <v>0</v>
      </c>
    </row>
    <row r="258">
      <c r="A258" s="8" t="inlineStr">
        <is>
          <t>us-gaap:LesseeOperatingLeaseLiabilityPaymentsDueYearFour</t>
        </is>
      </c>
      <c r="B258" s="9" t="n">
        <v>2100</v>
      </c>
      <c r="C258" s="9" t="n">
        <v>1646</v>
      </c>
      <c r="D258" s="8" t="inlineStr">
        <is>
          <t>None</t>
        </is>
      </c>
      <c r="E258" t="n">
        <v>0</v>
      </c>
    </row>
    <row r="259">
      <c r="A259" s="8" t="inlineStr">
        <is>
          <t>us-gaap:LesseeOperatingLeaseLiabilityPaymentsDueYearThree</t>
        </is>
      </c>
      <c r="B259" s="9" t="n">
        <v>2608</v>
      </c>
      <c r="C259" s="9" t="n">
        <v>1964</v>
      </c>
      <c r="D259" s="8" t="inlineStr">
        <is>
          <t>None</t>
        </is>
      </c>
      <c r="E259" t="n">
        <v>0</v>
      </c>
    </row>
    <row r="260">
      <c r="A260" s="8" t="inlineStr">
        <is>
          <t>us-gaap:LesseeOperatingLeaseLiabilityPaymentsDueYearTwo</t>
        </is>
      </c>
      <c r="B260" s="9" t="n">
        <v>3076</v>
      </c>
      <c r="C260" s="9" t="n">
        <v>2334</v>
      </c>
      <c r="D260" s="8" t="inlineStr">
        <is>
          <t>None</t>
        </is>
      </c>
      <c r="E260" t="n">
        <v>0</v>
      </c>
    </row>
    <row r="261">
      <c r="A261" s="8" t="inlineStr">
        <is>
          <t>us-gaap:LesseeOperatingLeaseLiabilityPaymentsRemainderOfFiscalYear</t>
        </is>
      </c>
      <c r="B261" s="9" t="n">
        <v>956</v>
      </c>
      <c r="C261" s="9" t="n">
        <v>683</v>
      </c>
      <c r="D261" s="8" t="inlineStr">
        <is>
          <t>None</t>
        </is>
      </c>
      <c r="E261" t="n">
        <v>0</v>
      </c>
    </row>
    <row r="262">
      <c r="A262" s="8" t="inlineStr">
        <is>
          <t>us-gaap:LesseeOperatingLeaseLiabilityUndiscountedExcessAmount</t>
        </is>
      </c>
      <c r="B262" s="9" t="n">
        <v>2236</v>
      </c>
      <c r="C262" s="9" t="n">
        <v>1788</v>
      </c>
      <c r="D262" s="8" t="inlineStr">
        <is>
          <t>None</t>
        </is>
      </c>
      <c r="E262" t="n">
        <v>0</v>
      </c>
    </row>
    <row r="263">
      <c r="A263" s="8" t="inlineStr">
        <is>
          <t>us-gaap:Liabilities</t>
        </is>
      </c>
      <c r="B263" s="9" t="n">
        <v>231123</v>
      </c>
      <c r="C263" s="9" t="n">
        <v>185405</v>
      </c>
      <c r="D263" s="8" t="inlineStr">
        <is>
          <t>None</t>
        </is>
      </c>
      <c r="E263" t="n">
        <v>0</v>
      </c>
    </row>
    <row r="264">
      <c r="A264" s="8" t="inlineStr">
        <is>
          <t>us-gaap:LiabilitiesCurrent</t>
        </is>
      </c>
      <c r="B264" s="9" t="n">
        <v>118525</v>
      </c>
      <c r="C264" s="9" t="n">
        <v>85691</v>
      </c>
      <c r="D264" s="8" t="inlineStr">
        <is>
          <t>None</t>
        </is>
      </c>
      <c r="E264" t="n">
        <v>0</v>
      </c>
    </row>
    <row r="265">
      <c r="A265" s="8" t="inlineStr">
        <is>
          <t>us-gaap:LongTermDebt</t>
        </is>
      </c>
      <c r="B265" s="9" t="n">
        <v>44907</v>
      </c>
      <c r="C265" s="9" t="n">
        <v>48210</v>
      </c>
      <c r="D265" s="8" t="inlineStr">
        <is>
          <t>None</t>
        </is>
      </c>
      <c r="E265" t="n">
        <v>0</v>
      </c>
    </row>
    <row r="266">
      <c r="A266" s="8" t="inlineStr">
        <is>
          <t>us-gaap:LongTermDebtCurrent</t>
        </is>
      </c>
      <c r="B266" s="9" t="n">
        <v>2249</v>
      </c>
      <c r="C266" s="9" t="n">
        <v>6245</v>
      </c>
      <c r="D266" s="8" t="inlineStr">
        <is>
          <t>None</t>
        </is>
      </c>
      <c r="E266" t="n">
        <v>0</v>
      </c>
    </row>
    <row r="267">
      <c r="A267" s="8" t="inlineStr">
        <is>
          <t>us-gaap:LongTermDebtFairValue</t>
        </is>
      </c>
      <c r="B267" s="9" t="n">
        <v>43.2</v>
      </c>
      <c r="C267" s="9" t="n">
        <v>47.8</v>
      </c>
      <c r="D267" s="8" t="inlineStr">
        <is>
          <t>None</t>
        </is>
      </c>
      <c r="E267" t="n">
        <v>0</v>
      </c>
    </row>
    <row r="268">
      <c r="A268" s="8" t="inlineStr">
        <is>
          <t>us-gaap:LongTermDebtMaturitiesRepaymentsOfPrincipalInNextTwelveMonths</t>
        </is>
      </c>
      <c r="B268" s="9" t="n">
        <v>2250</v>
      </c>
      <c r="C268" s="9" t="n">
        <v>5250</v>
      </c>
      <c r="D268" s="8" t="inlineStr">
        <is>
          <t>None</t>
        </is>
      </c>
      <c r="E268" t="n">
        <v>0</v>
      </c>
    </row>
    <row r="269">
      <c r="A269" s="8" t="inlineStr">
        <is>
          <t>us-gaap:LongTermDebtMaturitiesRepaymentsOfPrincipalInYearFour</t>
        </is>
      </c>
      <c r="B269" s="9" t="n">
        <v>0</v>
      </c>
      <c r="C269" s="9" t="n">
        <v>8000</v>
      </c>
      <c r="D269" s="8" t="inlineStr">
        <is>
          <t>None</t>
        </is>
      </c>
      <c r="E269" t="n">
        <v>1</v>
      </c>
    </row>
    <row r="270">
      <c r="A270" s="7" t="inlineStr">
        <is>
          <t>us-gaap:LongTermDebtMaturitiesRepaymentsOfPrincipalInYearThree</t>
        </is>
      </c>
      <c r="B270" s="9" t="n">
        <v>9250</v>
      </c>
      <c r="C270" s="9" t="n">
        <v>3000</v>
      </c>
      <c r="D270" s="8" t="inlineStr">
        <is>
          <t>None</t>
        </is>
      </c>
      <c r="E270" t="n">
        <v>0</v>
      </c>
    </row>
    <row r="271">
      <c r="A271" s="8" t="inlineStr">
        <is>
          <t>us-gaap:LongTermDebtMaturitiesRepaymentsOfPrincipalInYearTwo</t>
        </is>
      </c>
      <c r="B271" s="9" t="n">
        <v>3000</v>
      </c>
      <c r="C271" s="9" t="n">
        <v>2250</v>
      </c>
      <c r="D271" s="8" t="inlineStr">
        <is>
          <t>None</t>
        </is>
      </c>
      <c r="E271" t="n">
        <v>0</v>
      </c>
    </row>
    <row r="272">
      <c r="A272" s="8" t="inlineStr">
        <is>
          <t>us-gaap:LongTermDebtMaturitiesRepaymentsOfPrincipalRemainderOfFiscalYear</t>
        </is>
      </c>
      <c r="B272" s="9" t="n">
        <v>0</v>
      </c>
      <c r="C272" s="9" t="n">
        <v>1000</v>
      </c>
      <c r="D272" s="8" t="inlineStr">
        <is>
          <t>None</t>
        </is>
      </c>
      <c r="E272" t="n">
        <v>1</v>
      </c>
    </row>
    <row r="273">
      <c r="A273" s="8" t="inlineStr">
        <is>
          <t>us-gaap:LongTermDebtNoncurrent</t>
        </is>
      </c>
      <c r="B273" s="9" t="n">
        <v>42658</v>
      </c>
      <c r="C273" s="9" t="n">
        <v>41965</v>
      </c>
      <c r="D273" s="8" t="inlineStr">
        <is>
          <t>None</t>
        </is>
      </c>
      <c r="E273" t="n">
        <v>0</v>
      </c>
    </row>
    <row r="274">
      <c r="A274" s="8" t="inlineStr">
        <is>
          <t>us-gaap:LongTermInvestments</t>
        </is>
      </c>
      <c r="B274" s="9" t="n">
        <v>14807</v>
      </c>
      <c r="C274" s="9" t="n">
        <v>9415</v>
      </c>
      <c r="D274" s="8" t="inlineStr">
        <is>
          <t>None</t>
        </is>
      </c>
      <c r="E274" t="n">
        <v>1</v>
      </c>
    </row>
    <row r="275">
      <c r="A275" s="8" t="inlineStr">
        <is>
          <t>us-gaap:LongTermInvestments</t>
        </is>
      </c>
      <c r="B275" s="9" t="n">
        <v>1500</v>
      </c>
      <c r="C275" s="9" t="n">
        <v>0</v>
      </c>
      <c r="D275" s="8" t="inlineStr">
        <is>
          <t>None</t>
        </is>
      </c>
      <c r="E275" t="n">
        <v>1</v>
      </c>
    </row>
    <row r="276">
      <c r="A276" s="8" t="inlineStr">
        <is>
          <t>us-gaap:LongTermInvestments</t>
        </is>
      </c>
      <c r="B276" s="9" t="n">
        <v>3082</v>
      </c>
      <c r="C276" s="9" t="n">
        <v>2496</v>
      </c>
      <c r="D276" s="8" t="inlineStr">
        <is>
          <t>None</t>
        </is>
      </c>
      <c r="E276" t="n">
        <v>0</v>
      </c>
    </row>
    <row r="277">
      <c r="A277" s="8" t="inlineStr">
        <is>
          <t>us-gaap:LongTermInvestments</t>
        </is>
      </c>
      <c r="B277" s="9" t="n">
        <v>13307</v>
      </c>
      <c r="C277" s="9" t="n">
        <v>9415</v>
      </c>
      <c r="D277" s="8" t="inlineStr">
        <is>
          <t>None</t>
        </is>
      </c>
      <c r="E277" t="n">
        <v>1</v>
      </c>
    </row>
    <row r="278">
      <c r="A278" s="8" t="inlineStr">
        <is>
          <t>us-gaap:LossContingencyAccrualAtCarryingValue</t>
        </is>
      </c>
      <c r="B278" s="9" t="n">
        <v>665</v>
      </c>
      <c r="C278" s="9" t="n">
        <v>177</v>
      </c>
      <c r="D278" s="8" t="inlineStr">
        <is>
          <t>None</t>
        </is>
      </c>
      <c r="E278" t="n">
        <v>1</v>
      </c>
    </row>
    <row r="279">
      <c r="A279" s="8" t="inlineStr">
        <is>
          <t>us-gaap:LossContingencyRangeOfPossibleLossPortionNotAccrued</t>
        </is>
      </c>
      <c r="B279" s="9" t="n">
        <v>600</v>
      </c>
      <c r="C279" s="9" t="n">
        <v>600</v>
      </c>
      <c r="D279" s="8" t="inlineStr">
        <is>
          <t>None</t>
        </is>
      </c>
      <c r="E279" t="n">
        <v>0</v>
      </c>
    </row>
    <row r="280">
      <c r="A280" s="8" t="inlineStr">
        <is>
          <t>us-gaap:OperatingLeaseLiability</t>
        </is>
      </c>
      <c r="B280" s="9" t="n">
        <v>3413</v>
      </c>
      <c r="C280" s="9" t="n">
        <v>2327</v>
      </c>
      <c r="D280" s="8" t="inlineStr">
        <is>
          <t>None</t>
        </is>
      </c>
      <c r="E280" t="n">
        <v>0</v>
      </c>
    </row>
    <row r="281">
      <c r="A281" s="8" t="inlineStr">
        <is>
          <t>us-gaap:OperatingLeaseLiability</t>
        </is>
      </c>
      <c r="B281" s="9" t="n">
        <v>14469</v>
      </c>
      <c r="C281" s="9" t="n">
        <v>12312</v>
      </c>
      <c r="D281" s="8" t="inlineStr">
        <is>
          <t>None</t>
        </is>
      </c>
      <c r="E281" t="n">
        <v>0</v>
      </c>
    </row>
    <row r="282">
      <c r="A282" s="8" t="inlineStr">
        <is>
          <t>us-gaap:OperatingLeaseLiability</t>
        </is>
      </c>
      <c r="B282" s="9" t="n">
        <v>17882</v>
      </c>
      <c r="C282" s="9" t="n">
        <v>14639</v>
      </c>
      <c r="D282" s="8" t="inlineStr">
        <is>
          <t>None</t>
        </is>
      </c>
      <c r="E282" t="n">
        <v>0</v>
      </c>
    </row>
    <row r="283">
      <c r="A283" s="8" t="inlineStr">
        <is>
          <t>us-gaap:OperatingLeaseRightOfUseAsset</t>
        </is>
      </c>
      <c r="B283" s="9" t="n">
        <v>17371</v>
      </c>
      <c r="C283" s="9" t="n">
        <v>13879</v>
      </c>
      <c r="D283" s="8" t="inlineStr">
        <is>
          <t>None</t>
        </is>
      </c>
      <c r="E283" t="n">
        <v>0</v>
      </c>
    </row>
    <row r="284">
      <c r="A284" s="8" t="inlineStr">
        <is>
          <t>us-gaap:OperatingLeaseWeightedAverageDiscountRatePercent</t>
        </is>
      </c>
      <c r="B284" s="8" t="n">
        <v>3.3</v>
      </c>
      <c r="C284" s="8" t="n">
        <v>2.7</v>
      </c>
      <c r="D284" s="8" t="inlineStr">
        <is>
          <t>None</t>
        </is>
      </c>
      <c r="E284" t="n">
        <v>1</v>
      </c>
      <c r="F284">
        <f>ISNUMBER(#REF!)</f>
        <v/>
      </c>
    </row>
    <row r="285">
      <c r="A285" s="8" t="inlineStr">
        <is>
          <t>us-gaap:OtherAssetsCurrent</t>
        </is>
      </c>
      <c r="B285" s="9" t="n">
        <v>21826</v>
      </c>
      <c r="C285" s="9" t="n">
        <v>19165</v>
      </c>
      <c r="D285" s="8" t="inlineStr">
        <is>
          <t>None</t>
        </is>
      </c>
      <c r="E285" t="n">
        <v>0</v>
      </c>
    </row>
    <row r="286">
      <c r="A286" s="8" t="inlineStr">
        <is>
          <t>us-gaap:OtherAssetsNoncurrent</t>
        </is>
      </c>
      <c r="B286" s="9" t="n">
        <v>35551</v>
      </c>
      <c r="C286" s="9" t="n">
        <v>26954</v>
      </c>
      <c r="D286" s="8" t="inlineStr">
        <is>
          <t>None</t>
        </is>
      </c>
      <c r="E286" t="n">
        <v>0</v>
      </c>
    </row>
    <row r="287">
      <c r="A287" s="8" t="inlineStr">
        <is>
          <t>us-gaap:OtherLiabilitiesCurrent</t>
        </is>
      </c>
      <c r="B287" s="9" t="n">
        <v>18023</v>
      </c>
      <c r="C287" s="9" t="n">
        <v>12664</v>
      </c>
      <c r="D287" s="8" t="inlineStr">
        <is>
          <t>None</t>
        </is>
      </c>
      <c r="E287" t="n">
        <v>0</v>
      </c>
    </row>
    <row r="288">
      <c r="A288" s="8" t="inlineStr">
        <is>
          <t>us-gaap:OtherLiabilitiesNoncurrent</t>
        </is>
      </c>
      <c r="B288" s="9" t="n">
        <v>23271</v>
      </c>
      <c r="C288" s="9" t="n">
        <v>17437</v>
      </c>
      <c r="D288" s="8" t="inlineStr">
        <is>
          <t>None</t>
        </is>
      </c>
      <c r="E288" t="n">
        <v>0</v>
      </c>
    </row>
    <row r="289">
      <c r="A289" s="8" t="inlineStr">
        <is>
          <t>us-gaap:PropertyPlantAndEquipmentGross</t>
        </is>
      </c>
      <c r="B289" s="9" t="n">
        <v>27328</v>
      </c>
      <c r="C289" s="9" t="n">
        <v>19652</v>
      </c>
      <c r="D289" s="8" t="inlineStr">
        <is>
          <t>None</t>
        </is>
      </c>
      <c r="E289" t="n">
        <v>0</v>
      </c>
    </row>
    <row r="290">
      <c r="A290" s="8" t="inlineStr">
        <is>
          <t>us-gaap:PropertyPlantAndEquipmentNet</t>
        </is>
      </c>
      <c r="B290" s="10" t="n">
        <v>121375</v>
      </c>
      <c r="C290" s="10" t="n">
        <v>88132</v>
      </c>
      <c r="D290" s="8" t="inlineStr">
        <is>
          <t>None</t>
        </is>
      </c>
      <c r="E290" t="n">
        <v>0</v>
      </c>
    </row>
    <row r="291">
      <c r="A291" s="8" t="inlineStr">
        <is>
          <t>us-gaap:PropertyPlantAndEquipmentNet</t>
        </is>
      </c>
      <c r="B291" s="10" t="n">
        <v>21463</v>
      </c>
      <c r="C291" s="10" t="n">
        <v>15365</v>
      </c>
      <c r="D291" s="8" t="inlineStr">
        <is>
          <t>None</t>
        </is>
      </c>
      <c r="E291" t="n">
        <v>0</v>
      </c>
    </row>
    <row r="292">
      <c r="A292" s="8" t="inlineStr">
        <is>
          <t>us-gaap:RetainedEarningsAccumulatedDeficit</t>
        </is>
      </c>
      <c r="B292" s="11" t="n">
        <v>159394</v>
      </c>
      <c r="C292" s="11" t="n">
        <v>108234</v>
      </c>
      <c r="D292" s="8" t="inlineStr">
        <is>
          <t>None</t>
        </is>
      </c>
      <c r="E292" t="n">
        <v>0</v>
      </c>
    </row>
    <row r="293">
      <c r="A293" s="8" t="inlineStr">
        <is>
          <t>us-gaap:RevenueRemainingPerformanceObligation</t>
        </is>
      </c>
      <c r="B293" s="10" t="n">
        <v>242</v>
      </c>
      <c r="C293" s="10" t="n">
        <v>201</v>
      </c>
      <c r="D293" s="8" t="inlineStr">
        <is>
          <t>None</t>
        </is>
      </c>
      <c r="E293" t="n">
        <v>1</v>
      </c>
    </row>
    <row r="294">
      <c r="A294" s="8" t="inlineStr">
        <is>
          <t>us-gaap:RevenueRemainingPerformanceObligation</t>
        </is>
      </c>
      <c r="B294" s="11" t="n">
        <v>235</v>
      </c>
      <c r="C294" s="11" t="n">
        <v>196</v>
      </c>
      <c r="D294" s="8" t="inlineStr">
        <is>
          <t>None</t>
        </is>
      </c>
      <c r="E294" t="n">
        <v>0</v>
      </c>
    </row>
    <row r="295">
      <c r="A295" s="8" t="inlineStr">
        <is>
          <t>us-gaap:RevenueRemainingPerformanceObligationExpectedTimingOfSatisfactionPeriod1</t>
        </is>
      </c>
      <c r="B295" s="10" t="n">
        <v>12</v>
      </c>
      <c r="C295" s="10" t="n">
        <v>12</v>
      </c>
      <c r="D295" s="8" t="inlineStr">
        <is>
          <t>None</t>
        </is>
      </c>
      <c r="E295" t="n">
        <v>1</v>
      </c>
    </row>
    <row r="296">
      <c r="A296" s="8" t="inlineStr">
        <is>
          <t>us-gaap:RevenueRemainingPerformanceObligationPercentage</t>
        </is>
      </c>
      <c r="B296" s="11" t="n">
        <v>45</v>
      </c>
      <c r="C296" s="11" t="n">
        <v>45</v>
      </c>
      <c r="D296" s="8" t="inlineStr">
        <is>
          <t>None</t>
        </is>
      </c>
      <c r="E296" t="n">
        <v>0</v>
      </c>
    </row>
    <row r="297">
      <c r="A297" s="8" t="inlineStr">
        <is>
          <t>us-gaap:ShortTermInvestments</t>
        </is>
      </c>
      <c r="B297" s="10" t="n">
        <v>60387</v>
      </c>
      <c r="C297" s="10" t="n">
        <v>77865</v>
      </c>
      <c r="D297" s="8" t="inlineStr">
        <is>
          <t>None</t>
        </is>
      </c>
      <c r="E297" t="n">
        <v>0</v>
      </c>
    </row>
    <row r="298">
      <c r="A298" s="8" t="inlineStr">
        <is>
          <t>us-gaap:ShortTermInvestments</t>
        </is>
      </c>
      <c r="B298" s="11" t="n">
        <v>0</v>
      </c>
      <c r="C298" s="11" t="n">
        <v>646</v>
      </c>
      <c r="D298" s="8" t="inlineStr">
        <is>
          <t>None</t>
        </is>
      </c>
      <c r="E298" t="n">
        <v>1</v>
      </c>
    </row>
    <row r="299">
      <c r="A299" s="8" t="inlineStr">
        <is>
          <t>us-gaap:ShortTermInvestments</t>
        </is>
      </c>
      <c r="B299" s="10" t="n">
        <v>44</v>
      </c>
      <c r="C299" s="10" t="n">
        <v>44</v>
      </c>
      <c r="D299" s="8" t="inlineStr">
        <is>
          <t>None</t>
        </is>
      </c>
      <c r="E299" t="n">
        <v>1</v>
      </c>
    </row>
    <row r="300">
      <c r="A300" s="8" t="inlineStr">
        <is>
          <t>us-gaap:ShortTermInvestments</t>
        </is>
      </c>
      <c r="B300" s="10" t="n">
        <v>48961</v>
      </c>
      <c r="C300" s="10" t="n">
        <v>61600</v>
      </c>
      <c r="D300" s="8" t="inlineStr">
        <is>
          <t>None</t>
        </is>
      </c>
      <c r="E300" t="n">
        <v>0</v>
      </c>
    </row>
    <row r="301">
      <c r="A301" s="8" t="inlineStr">
        <is>
          <t>us-gaap:ShortTermInvestments</t>
        </is>
      </c>
      <c r="B301" s="10" t="n">
        <v>23</v>
      </c>
      <c r="C301" s="10" t="n">
        <v>3341</v>
      </c>
      <c r="D301" s="8" t="inlineStr">
        <is>
          <t>None</t>
        </is>
      </c>
      <c r="E301" t="n">
        <v>1</v>
      </c>
    </row>
    <row r="302">
      <c r="A302" s="8" t="inlineStr">
        <is>
          <t>us-gaap:ShortTermInvestments</t>
        </is>
      </c>
      <c r="B302" s="11" t="n">
        <v>344</v>
      </c>
      <c r="C302" s="11" t="n">
        <v>485</v>
      </c>
      <c r="D302" s="8" t="inlineStr">
        <is>
          <t>None</t>
        </is>
      </c>
      <c r="E302" t="n">
        <v>1</v>
      </c>
    </row>
    <row r="303">
      <c r="A303" s="8" t="inlineStr">
        <is>
          <t>us-gaap:ShortTermInvestments</t>
        </is>
      </c>
      <c r="B303" s="10" t="n">
        <v>950</v>
      </c>
      <c r="C303" s="10" t="n">
        <v>10429</v>
      </c>
      <c r="D303" s="8" t="inlineStr">
        <is>
          <t>None</t>
        </is>
      </c>
      <c r="E303" t="n">
        <v>1</v>
      </c>
    </row>
    <row r="304">
      <c r="A304" s="8" t="inlineStr">
        <is>
          <t>us-gaap:ShortTermInvestments</t>
        </is>
      </c>
      <c r="B304" s="11" t="n">
        <v>9574</v>
      </c>
      <c r="C304" s="11" t="n">
        <v>118</v>
      </c>
      <c r="D304" s="8" t="inlineStr">
        <is>
          <t>None</t>
        </is>
      </c>
      <c r="E304" t="n">
        <v>1</v>
      </c>
    </row>
    <row r="305">
      <c r="A305" s="8" t="inlineStr">
        <is>
          <t>us-gaap:ShortTermInvestments</t>
        </is>
      </c>
      <c r="B305" s="10" t="n">
        <v>145</v>
      </c>
      <c r="C305" s="10" t="n">
        <v>365</v>
      </c>
      <c r="D305" s="8" t="inlineStr">
        <is>
          <t>None</t>
        </is>
      </c>
      <c r="E305" t="n">
        <v>1</v>
      </c>
    </row>
    <row r="306">
      <c r="A306" s="8" t="inlineStr">
        <is>
          <t>us-gaap:ShortTermInvestments</t>
        </is>
      </c>
      <c r="B306" s="10" t="n">
        <v>250</v>
      </c>
      <c r="C306" s="10" t="n">
        <v>97</v>
      </c>
      <c r="D306" s="8" t="inlineStr">
        <is>
          <t>None</t>
        </is>
      </c>
      <c r="E306" t="n">
        <v>1</v>
      </c>
    </row>
    <row r="307">
      <c r="A307" s="8" t="inlineStr">
        <is>
          <t>us-gaap:ShortTermInvestments</t>
        </is>
      </c>
      <c r="B307" s="10" t="n">
        <v>88</v>
      </c>
      <c r="C307" s="10" t="n">
        <v>77857</v>
      </c>
      <c r="D307" s="8" t="inlineStr">
        <is>
          <t>None</t>
        </is>
      </c>
      <c r="E307" t="n">
        <v>1</v>
      </c>
    </row>
    <row r="308">
      <c r="A308" s="8" t="inlineStr">
        <is>
          <t>us-gaap:ShortTermInvestments</t>
        </is>
      </c>
      <c r="B308" s="10" t="n">
        <v>60379</v>
      </c>
      <c r="C308" s="10" t="n">
        <v>0</v>
      </c>
      <c r="D308" s="8" t="inlineStr">
        <is>
          <t>None</t>
        </is>
      </c>
      <c r="E308" t="n">
        <v>1</v>
      </c>
    </row>
    <row r="309">
      <c r="A309" s="8" t="inlineStr">
        <is>
          <t>us-gaap:ShortTermInvestments</t>
        </is>
      </c>
      <c r="B309" s="8" t="n">
        <v>0</v>
      </c>
      <c r="C309" s="8" t="n">
        <v>8</v>
      </c>
      <c r="D309" s="8" t="inlineStr">
        <is>
          <t>None</t>
        </is>
      </c>
      <c r="E309" t="n">
        <v>1</v>
      </c>
    </row>
    <row r="310">
      <c r="A310" s="8" t="inlineStr">
        <is>
          <t>us-gaap:StockRepurchaseProgramRemainingAuthorizedRepurchaseAmount1</t>
        </is>
      </c>
      <c r="B310" s="8" t="n">
        <v>13.1</v>
      </c>
      <c r="C310" s="8" t="n">
        <v>26.9</v>
      </c>
      <c r="D310" s="8" t="inlineStr">
        <is>
          <t>None</t>
        </is>
      </c>
      <c r="E310" t="n">
        <v>0</v>
      </c>
    </row>
    <row r="311">
      <c r="A311" s="8" t="inlineStr">
        <is>
          <t>us-gaap:StockholdersEquity</t>
        </is>
      </c>
      <c r="B311" s="8" t="n">
        <v>253152</v>
      </c>
      <c r="C311" s="8" t="n">
        <v>194683</v>
      </c>
      <c r="D311" s="8" t="inlineStr">
        <is>
          <t>None</t>
        </is>
      </c>
      <c r="E311" t="n">
        <v>0</v>
      </c>
    </row>
    <row r="312">
      <c r="A312" s="8" t="inlineStr">
        <is>
          <t>us-gaap:StockholdersEquity</t>
        </is>
      </c>
      <c r="B312" s="8" t="n">
        <v>1</v>
      </c>
      <c r="C312" s="8" t="n">
        <v>-47</v>
      </c>
      <c r="D312" s="8" t="inlineStr">
        <is>
          <t>None</t>
        </is>
      </c>
      <c r="E312" t="n">
        <v>1</v>
      </c>
    </row>
    <row r="313">
      <c r="A313" s="8" t="inlineStr">
        <is>
          <t>us-gaap:StockholdersEquity</t>
        </is>
      </c>
      <c r="B313" s="5" t="n">
        <v>-2713</v>
      </c>
      <c r="C313" s="5" t="n">
        <v>-2934</v>
      </c>
      <c r="D313" t="inlineStr">
        <is>
          <t>None</t>
        </is>
      </c>
      <c r="E313" t="n">
        <v>0</v>
      </c>
    </row>
    <row r="314">
      <c r="A314" s="8" t="inlineStr">
        <is>
          <t>us-gaap:StockholdersEquity</t>
        </is>
      </c>
      <c r="B314" s="8" t="n">
        <v>-2723</v>
      </c>
      <c r="C314" s="8" t="n">
        <v>-2663</v>
      </c>
      <c r="D314" t="inlineStr">
        <is>
          <t>None</t>
        </is>
      </c>
      <c r="E314" t="n">
        <v>0</v>
      </c>
    </row>
    <row r="315">
      <c r="A315" s="8" t="inlineStr">
        <is>
          <t>us-gaap:UnrecordedUnconditionalPurchaseObligationBalanceSheetAmount</t>
        </is>
      </c>
      <c r="B315" s="8" t="n">
        <v>8.4</v>
      </c>
      <c r="C315" s="8" t="n">
        <v>5</v>
      </c>
      <c r="D315" t="inlineStr">
        <is>
          <t>None</t>
        </is>
      </c>
      <c r="E315" t="n">
        <v>1</v>
      </c>
    </row>
    <row r="316">
      <c r="A316" s="8" t="inlineStr">
        <is>
          <t>us-gaap:UnrecordedUnconditionalPurchaseObligationBalanceSheetAmount</t>
        </is>
      </c>
      <c r="B316" s="8" t="n">
        <v>87.8</v>
      </c>
      <c r="C316" s="8" t="n">
        <v>21.9</v>
      </c>
      <c r="D316" t="inlineStr">
        <is>
          <t>None</t>
        </is>
      </c>
      <c r="E316" t="n">
        <v>0</v>
      </c>
    </row>
    <row r="317">
      <c r="A317" s="8" t="inlineStr">
        <is>
          <t>dei:CityAreaCode</t>
        </is>
      </c>
      <c r="B317" s="8" t="n">
        <v>425</v>
      </c>
      <c r="C317" s="8" t="n">
        <v>425</v>
      </c>
      <c r="E317" t="n">
        <v>0</v>
      </c>
    </row>
    <row r="318">
      <c r="A318" s="8" t="inlineStr">
        <is>
          <t>dei:DocumentFiscalYearFocus</t>
        </is>
      </c>
      <c r="B318" s="8" t="n">
        <v>2024</v>
      </c>
      <c r="C318" s="8" t="n">
        <v>2023</v>
      </c>
      <c r="E318" t="n">
        <v>0</v>
      </c>
    </row>
    <row r="319">
      <c r="A319" s="7" t="inlineStr">
        <is>
          <t>dei:EntityCentralIndexKey</t>
        </is>
      </c>
      <c r="B319" s="7" t="n">
        <v>789019</v>
      </c>
      <c r="C319" s="7" t="n">
        <v>789019</v>
      </c>
      <c r="E319" t="n">
        <v>0</v>
      </c>
    </row>
    <row r="320">
      <c r="A320" s="8" t="inlineStr">
        <is>
          <t>dei:EntityListingParValuePerShare</t>
        </is>
      </c>
      <c r="B320" s="8" t="n">
        <v>6.25e-06</v>
      </c>
      <c r="C320" s="8" t="n">
        <v>6.25e-06</v>
      </c>
      <c r="E320" t="n">
        <v>0</v>
      </c>
    </row>
    <row r="321">
      <c r="A321" s="8" t="inlineStr">
        <is>
          <t>msft:AcquisitionsNetOfCashAcquiredAndPurchasesOfIntangibleAndOtherAssets</t>
        </is>
      </c>
      <c r="B321" s="8" t="n">
        <v>1575</v>
      </c>
      <c r="C321" s="8" t="n">
        <v>301</v>
      </c>
      <c r="E321" t="n">
        <v>0</v>
      </c>
    </row>
    <row r="322">
      <c r="A322" s="8" t="inlineStr">
        <is>
          <t>msft:AcquisitionsNetOfCashAcquiredAndPurchasesOfIntangibleAndOtherAssets</t>
        </is>
      </c>
      <c r="B322" s="8" t="n">
        <v>67790</v>
      </c>
      <c r="C322" s="8" t="n">
        <v>1329</v>
      </c>
      <c r="E322" t="n">
        <v>0</v>
      </c>
    </row>
    <row r="323">
      <c r="A323" s="8" t="inlineStr">
        <is>
          <t>msft:ContractWithCustomerLiabilityRevenueDeferred</t>
        </is>
      </c>
      <c r="B323" s="8" t="n">
        <v>94800</v>
      </c>
      <c r="C323" s="8" t="n">
        <v>78046</v>
      </c>
      <c r="E323" t="n">
        <v>0</v>
      </c>
    </row>
    <row r="324">
      <c r="A324" s="8" t="inlineStr">
        <is>
          <t>msft:ContractWithCustomerLiabilityRevenueRecognizedIncludingAdditions</t>
        </is>
      </c>
      <c r="B324" s="8" t="n">
        <v>103780</v>
      </c>
      <c r="C324" s="8" t="n">
        <v>86853</v>
      </c>
      <c r="E324" t="n">
        <v>0</v>
      </c>
    </row>
    <row r="325">
      <c r="A325" s="8" t="inlineStr">
        <is>
          <t>msft:CreditLossAllowanceAndImpairmentOfInvestments</t>
        </is>
      </c>
      <c r="B325" s="8" t="n">
        <v>-3</v>
      </c>
      <c r="C325" s="8" t="n">
        <v>0</v>
      </c>
      <c r="E325" t="n">
        <v>1</v>
      </c>
    </row>
    <row r="326">
      <c r="A326" s="8" t="inlineStr">
        <is>
          <t>msft:CreditLossAllowanceAndImpairmentOfInvestments</t>
        </is>
      </c>
      <c r="B326" s="8" t="n">
        <v>-15</v>
      </c>
      <c r="C326" s="8" t="n">
        <v>13</v>
      </c>
      <c r="E326" t="n">
        <v>1</v>
      </c>
    </row>
    <row r="327">
      <c r="A327" s="8" t="inlineStr">
        <is>
          <t>msft:DebtInstrumentIssuanceYear</t>
        </is>
      </c>
      <c r="B327" s="8" t="n">
        <v>2016</v>
      </c>
      <c r="C327" s="8" t="n">
        <v>2016</v>
      </c>
      <c r="E327" t="n">
        <v>0</v>
      </c>
    </row>
    <row r="328">
      <c r="A328" s="8" t="inlineStr">
        <is>
          <t>msft:DebtInstrumentIssuanceYear</t>
        </is>
      </c>
      <c r="B328" s="8" t="n">
        <v>2021</v>
      </c>
      <c r="C328" s="8" t="n">
        <v>2021</v>
      </c>
      <c r="E328" t="n">
        <v>0</v>
      </c>
    </row>
    <row r="329">
      <c r="A329" s="8" t="inlineStr">
        <is>
          <t>msft:DebtInstrumentIssuanceYear</t>
        </is>
      </c>
      <c r="B329" s="8" t="n">
        <v>2013</v>
      </c>
      <c r="C329" s="8" t="n">
        <v>2013</v>
      </c>
      <c r="E329" t="n">
        <v>0</v>
      </c>
    </row>
    <row r="330">
      <c r="A330" s="8" t="inlineStr">
        <is>
          <t>msft:DebtInstrumentIssuanceYear</t>
        </is>
      </c>
      <c r="B330" s="8" t="n">
        <v>2012</v>
      </c>
      <c r="C330" s="8" t="n">
        <v>2012</v>
      </c>
      <c r="E330" t="n">
        <v>0</v>
      </c>
    </row>
    <row r="331">
      <c r="A331" s="8" t="inlineStr">
        <is>
          <t>msft:DebtInstrumentIssuanceYear</t>
        </is>
      </c>
      <c r="B331" s="8" t="n">
        <v>2017</v>
      </c>
      <c r="C331" s="8" t="n">
        <v>2017</v>
      </c>
      <c r="E331" t="n">
        <v>0</v>
      </c>
    </row>
    <row r="332">
      <c r="A332" s="8" t="inlineStr">
        <is>
          <t>msft:DebtInstrumentIssuanceYear</t>
        </is>
      </c>
      <c r="B332" s="8" t="n">
        <v>2009</v>
      </c>
      <c r="C332" s="8" t="n">
        <v>2009</v>
      </c>
      <c r="E332" t="n">
        <v>0</v>
      </c>
    </row>
    <row r="333">
      <c r="A333" s="8" t="inlineStr">
        <is>
          <t>msft:DebtInstrumentIssuanceYear</t>
        </is>
      </c>
      <c r="B333" s="8" t="n">
        <v>2015</v>
      </c>
      <c r="C333" s="8" t="n">
        <v>2015</v>
      </c>
      <c r="E333" t="n">
        <v>1</v>
      </c>
    </row>
    <row r="334">
      <c r="A334" s="7" t="inlineStr">
        <is>
          <t>msft:DebtInstrumentIssuanceYear</t>
        </is>
      </c>
      <c r="B334" s="7" t="n">
        <v>2020</v>
      </c>
      <c r="C334" s="7" t="n">
        <v>2020</v>
      </c>
      <c r="E334" t="n">
        <v>0</v>
      </c>
    </row>
    <row r="335">
      <c r="A335" s="8" t="inlineStr">
        <is>
          <t>msft:DebtInstrumentIssuanceYear</t>
        </is>
      </c>
      <c r="B335" s="8" t="n">
        <v>2011</v>
      </c>
      <c r="C335" s="8" t="n">
        <v>2011</v>
      </c>
      <c r="E335" t="n">
        <v>0</v>
      </c>
    </row>
    <row r="336">
      <c r="A336" s="8" t="inlineStr">
        <is>
          <t>msft:DebtInstrumentIssuanceYear</t>
        </is>
      </c>
      <c r="B336" s="8" t="n">
        <v>2010</v>
      </c>
      <c r="C336" s="8" t="n">
        <v>2010</v>
      </c>
      <c r="E336" t="n">
        <v>0</v>
      </c>
    </row>
    <row r="337">
      <c r="A337" s="8" t="inlineStr">
        <is>
          <t>msft:DebtInstrumentMaturityYear</t>
        </is>
      </c>
      <c r="B337" s="8" t="n">
        <v>2055</v>
      </c>
      <c r="C337" s="8" t="n">
        <v>2055</v>
      </c>
      <c r="E337" t="n">
        <v>0</v>
      </c>
    </row>
    <row r="338">
      <c r="A338" s="8" t="inlineStr">
        <is>
          <t>msft:DebtInstrumentMaturityYear</t>
        </is>
      </c>
      <c r="B338" s="8" t="n">
        <v>2033</v>
      </c>
      <c r="C338" s="8" t="n">
        <v>2033</v>
      </c>
      <c r="E338" t="n">
        <v>0</v>
      </c>
    </row>
    <row r="339">
      <c r="A339" s="8" t="inlineStr">
        <is>
          <t>msft:DebtInstrumentMaturityYear</t>
        </is>
      </c>
      <c r="B339" s="8" t="n">
        <v>2060</v>
      </c>
      <c r="C339" s="8" t="n">
        <v>2060</v>
      </c>
      <c r="E339" t="n">
        <v>0</v>
      </c>
    </row>
    <row r="340">
      <c r="A340" s="8" t="inlineStr">
        <is>
          <t>msft:DebtInstrumentMaturityYear</t>
        </is>
      </c>
      <c r="B340" s="8" t="n">
        <v>2026</v>
      </c>
      <c r="C340" s="8" t="n">
        <v>2024</v>
      </c>
      <c r="E340" t="n">
        <v>0</v>
      </c>
    </row>
    <row r="341">
      <c r="A341" s="7" t="inlineStr">
        <is>
          <t>msft:DebtInstrumentMaturityYear</t>
        </is>
      </c>
      <c r="B341" s="7" t="n">
        <v>2039</v>
      </c>
      <c r="C341" s="7" t="n">
        <v>2039</v>
      </c>
      <c r="E341" t="n">
        <v>0</v>
      </c>
    </row>
    <row r="342">
      <c r="A342" s="7" t="inlineStr">
        <is>
          <t>msft:DebtInstrumentMaturityYear</t>
        </is>
      </c>
      <c r="B342" s="7" t="n">
        <v>2041</v>
      </c>
      <c r="C342" s="7" t="n">
        <v>2041</v>
      </c>
      <c r="E342" t="n">
        <v>0</v>
      </c>
    </row>
    <row r="343">
      <c r="A343" s="7" t="inlineStr">
        <is>
          <t>msft:DebtInstrumentMaturityYear</t>
        </is>
      </c>
      <c r="B343" s="7" t="n">
        <v>2040</v>
      </c>
      <c r="C343" s="7" t="n">
        <v>2040</v>
      </c>
      <c r="E343" t="n">
        <v>0</v>
      </c>
    </row>
    <row r="344">
      <c r="A344" s="7" t="inlineStr">
        <is>
          <t>msft:DepreciationAmortizationAndOther</t>
        </is>
      </c>
      <c r="B344" s="7" t="n">
        <v>6027</v>
      </c>
      <c r="C344" s="7" t="n">
        <v>3549</v>
      </c>
      <c r="E344" t="n">
        <v>0</v>
      </c>
    </row>
    <row r="345">
      <c r="A345" s="7" t="inlineStr">
        <is>
          <t>msft:DepreciationAmortizationAndOther</t>
        </is>
      </c>
      <c r="B345" s="7" t="n">
        <v>15907</v>
      </c>
      <c r="C345" s="7" t="n">
        <v>9987</v>
      </c>
      <c r="E345" t="n">
        <v>0</v>
      </c>
    </row>
    <row r="346">
      <c r="A346" s="8" t="inlineStr">
        <is>
          <t>msft:FinanceLeaseCost</t>
        </is>
      </c>
      <c r="B346" s="8" t="n">
        <v>643</v>
      </c>
      <c r="C346" s="8" t="n">
        <v>480</v>
      </c>
      <c r="E346" t="n">
        <v>0</v>
      </c>
    </row>
    <row r="347">
      <c r="A347" s="7" t="inlineStr">
        <is>
          <t>msft:FinanceLeaseCost</t>
        </is>
      </c>
      <c r="B347" s="7" t="n">
        <v>1748</v>
      </c>
      <c r="C347" s="7" t="n">
        <v>1358</v>
      </c>
      <c r="E347" t="n">
        <v>0</v>
      </c>
    </row>
    <row r="348">
      <c r="A348" s="7" t="inlineStr">
        <is>
          <t>msft:GainLossOnInvestmentsAndDerivativeInstruments</t>
        </is>
      </c>
      <c r="B348" s="7" t="n">
        <v>-49</v>
      </c>
      <c r="C348" s="7" t="n">
        <v>40</v>
      </c>
      <c r="E348" t="n">
        <v>1</v>
      </c>
    </row>
    <row r="349">
      <c r="A349" s="7" t="inlineStr">
        <is>
          <t>msft:GainLossOnInvestmentsAndDerivativeInstruments</t>
        </is>
      </c>
      <c r="B349" s="7" t="n">
        <v>-261</v>
      </c>
      <c r="C349" s="7" t="n">
        <v>-152</v>
      </c>
      <c r="E349" t="n">
        <v>0</v>
      </c>
    </row>
    <row r="350">
      <c r="A350" s="7" t="inlineStr">
        <is>
          <t>msft:ImpairmentOfEquityInvestments</t>
        </is>
      </c>
      <c r="B350" s="7" t="n">
        <v>20</v>
      </c>
      <c r="C350" s="7" t="n">
        <v>0</v>
      </c>
      <c r="E350" t="n">
        <v>1</v>
      </c>
    </row>
    <row r="351">
      <c r="A351" s="12" t="inlineStr">
        <is>
          <t>msft:ImpairmentOfEquityInvestments</t>
        </is>
      </c>
      <c r="B351" s="12" t="n">
        <v>199</v>
      </c>
      <c r="C351" s="12" t="n">
        <v>16</v>
      </c>
      <c r="E351" t="n">
        <v>1</v>
      </c>
    </row>
    <row r="352">
      <c r="A352" s="12" t="inlineStr">
        <is>
          <t>msft:LesseeOperatingAndFinanceLeasesRemainingLeaseTerm</t>
        </is>
      </c>
      <c r="B352" s="12" t="n">
        <v>17</v>
      </c>
      <c r="C352" s="12" t="n">
        <v>18</v>
      </c>
      <c r="E352" t="n">
        <v>1</v>
      </c>
    </row>
    <row r="353">
      <c r="A353" s="12" t="inlineStr">
        <is>
          <t>msft:ProceedsFromInvestments</t>
        </is>
      </c>
      <c r="B353" s="12" t="n">
        <v>1941</v>
      </c>
      <c r="C353" s="12" t="n">
        <v>1239</v>
      </c>
      <c r="E353" t="n">
        <v>0</v>
      </c>
    </row>
    <row r="354">
      <c r="A354" s="12" t="inlineStr">
        <is>
          <t>msft:ProceedsFromInvestments</t>
        </is>
      </c>
      <c r="B354" s="12" t="n">
        <v>8871</v>
      </c>
      <c r="C354" s="12" t="n">
        <v>8725</v>
      </c>
      <c r="E354" t="n">
        <v>0</v>
      </c>
    </row>
    <row r="355">
      <c r="A355" t="inlineStr">
        <is>
          <t>us-gaap:AdjustmentsToAdditionalPaidInCapitalSharebasedCompensationRequisiteServicePeriodRecognitionValue</t>
        </is>
      </c>
      <c r="B355" t="n">
        <v>2703</v>
      </c>
      <c r="C355" t="n">
        <v>2465</v>
      </c>
      <c r="E355" t="n">
        <v>0</v>
      </c>
    </row>
    <row r="356">
      <c r="A356" s="12" t="inlineStr">
        <is>
          <t>us-gaap:AdjustmentsToAdditionalPaidInCapitalSharebasedCompensationRequisiteServicePeriodRecognitionValue</t>
        </is>
      </c>
      <c r="B356" s="12" t="n">
        <v>8038</v>
      </c>
      <c r="C356" s="12" t="n">
        <v>7195</v>
      </c>
      <c r="E356" t="n">
        <v>0</v>
      </c>
    </row>
    <row r="357">
      <c r="A357" s="12" t="inlineStr">
        <is>
          <t>us-gaap:AmortizationOfIntangibleAssets</t>
        </is>
      </c>
      <c r="B357" s="12" t="n">
        <v>1.4</v>
      </c>
      <c r="C357" s="12" t="n">
        <v>612</v>
      </c>
      <c r="E357" t="n">
        <v>1</v>
      </c>
    </row>
    <row r="358">
      <c r="A358" s="12" t="inlineStr">
        <is>
          <t>us-gaap:AmortizationOfIntangibleAssets</t>
        </is>
      </c>
      <c r="B358" s="12" t="n">
        <v>3.4</v>
      </c>
      <c r="C358" s="12" t="n">
        <v>1.9</v>
      </c>
      <c r="E358" t="n">
        <v>0</v>
      </c>
    </row>
    <row r="359">
      <c r="A359" s="12" t="inlineStr">
        <is>
          <t>us-gaap:BusinessAcquisitionProFormaEarningsPerShareDiluted</t>
        </is>
      </c>
      <c r="B359" s="12" t="n">
        <v>2.94</v>
      </c>
      <c r="C359" s="12" t="n">
        <v>2.45</v>
      </c>
      <c r="E359" t="n">
        <v>0</v>
      </c>
    </row>
    <row r="360">
      <c r="A360" s="12" t="inlineStr">
        <is>
          <t>us-gaap:BusinessAcquisitionProFormaEarningsPerShareDiluted</t>
        </is>
      </c>
      <c r="B360" s="12" t="n">
        <v>8.880000000000001</v>
      </c>
      <c r="C360" s="12" t="n">
        <v>6.9</v>
      </c>
      <c r="E360" t="n">
        <v>0</v>
      </c>
    </row>
    <row r="361">
      <c r="A361" s="12" t="inlineStr">
        <is>
          <t>us-gaap:BusinessAcquisitionsProFormaNetIncomeLoss</t>
        </is>
      </c>
      <c r="B361" s="12" t="n">
        <v>21931</v>
      </c>
      <c r="C361" s="12" t="n">
        <v>18258</v>
      </c>
      <c r="E361" t="n">
        <v>0</v>
      </c>
    </row>
    <row r="362">
      <c r="A362" s="12" t="inlineStr">
        <is>
          <t>us-gaap:BusinessAcquisitionsProFormaNetIncomeLoss</t>
        </is>
      </c>
      <c r="B362" s="12" t="n">
        <v>66278</v>
      </c>
      <c r="C362" s="12" t="n">
        <v>51536</v>
      </c>
      <c r="E362" t="n">
        <v>0</v>
      </c>
    </row>
    <row r="363">
      <c r="A363" s="12" t="inlineStr">
        <is>
          <t>us-gaap:BusinessAcquisitionsProFormaRevenue</t>
        </is>
      </c>
      <c r="B363" s="12" t="n">
        <v>61856</v>
      </c>
      <c r="C363" s="12" t="n">
        <v>54945</v>
      </c>
      <c r="E363" t="n">
        <v>0</v>
      </c>
    </row>
    <row r="364">
      <c r="A364" s="12" t="inlineStr">
        <is>
          <t>us-gaap:BusinessAcquisitionsProFormaRevenue</t>
        </is>
      </c>
      <c r="B364" s="12" t="n">
        <v>182717</v>
      </c>
      <c r="C364" s="12" t="n">
        <v>161745</v>
      </c>
      <c r="E364" t="n">
        <v>0</v>
      </c>
    </row>
    <row r="365">
      <c r="A365" s="12" t="inlineStr">
        <is>
          <t>us-gaap:CashCashEquivalentsRestrictedCashAndRestrictedCashEquivalentsPeriodIncreaseDecreaseIncludingExchangeRateEffect</t>
        </is>
      </c>
      <c r="B365" s="12" t="n">
        <v>2329</v>
      </c>
      <c r="C365" s="12" t="n">
        <v>10916</v>
      </c>
      <c r="E365" t="n">
        <v>0</v>
      </c>
    </row>
    <row r="366">
      <c r="A366" s="12" t="inlineStr">
        <is>
          <t>us-gaap:CashCashEquivalentsRestrictedCashAndRestrictedCashEquivalentsPeriodIncreaseDecreaseIncludingExchangeRateEffect</t>
        </is>
      </c>
      <c r="B366" s="12" t="n">
        <v>-15070</v>
      </c>
      <c r="C366" s="12" t="n">
        <v>12631</v>
      </c>
      <c r="E366" t="n">
        <v>0</v>
      </c>
    </row>
    <row r="367">
      <c r="A367" t="inlineStr">
        <is>
          <t>us-gaap:ChangeInUnrealizedGainLossOnFairValueHedgingInstruments1</t>
        </is>
      </c>
      <c r="B367" t="n">
        <v>-21</v>
      </c>
      <c r="C367" t="n">
        <v>1</v>
      </c>
      <c r="E367" t="n">
        <v>1</v>
      </c>
    </row>
    <row r="368">
      <c r="A368" t="inlineStr">
        <is>
          <t>us-gaap:ChangeInUnrealizedGainLossOnFairValueHedgingInstruments1</t>
        </is>
      </c>
      <c r="B368" t="n">
        <v>-15</v>
      </c>
      <c r="C368" t="n">
        <v>-37</v>
      </c>
      <c r="E368" t="n">
        <v>1</v>
      </c>
    </row>
    <row r="369">
      <c r="A369" s="12" t="inlineStr">
        <is>
          <t>us-gaap:ChangeInUnrealizedGainLossOnHedgedItemInFairValueHedge1</t>
        </is>
      </c>
      <c r="B369" s="12" t="n">
        <v>10</v>
      </c>
      <c r="C369" s="12" t="n">
        <v>-15</v>
      </c>
      <c r="E369" t="n">
        <v>1</v>
      </c>
    </row>
    <row r="370">
      <c r="A370" s="12" t="inlineStr">
        <is>
          <t>us-gaap:ChangeInUnrealizedGainLossOnHedgedItemInFairValueHedge1</t>
        </is>
      </c>
      <c r="B370" s="12" t="n">
        <v>-21</v>
      </c>
      <c r="C370" s="12" t="n">
        <v>20</v>
      </c>
      <c r="E370" t="n">
        <v>1</v>
      </c>
    </row>
    <row r="371">
      <c r="A371" s="12" t="inlineStr">
        <is>
          <t>us-gaap:CommonStockDividendsPerShareDeclared</t>
        </is>
      </c>
      <c r="B371" s="12" t="n">
        <v>0.75</v>
      </c>
      <c r="C371" s="12" t="n">
        <v>0.68</v>
      </c>
      <c r="E371" t="n">
        <v>0</v>
      </c>
    </row>
    <row r="372">
      <c r="A372" s="12" t="inlineStr">
        <is>
          <t>us-gaap:CommonStockDividendsPerShareDeclared</t>
        </is>
      </c>
      <c r="B372" s="12" t="n">
        <v>2.25</v>
      </c>
      <c r="C372" s="12" t="n">
        <v>2.04</v>
      </c>
      <c r="E372" t="n">
        <v>0</v>
      </c>
    </row>
    <row r="373">
      <c r="A373" s="12" t="inlineStr">
        <is>
          <t>us-gaap:ComprehensiveIncomeNetOfTax</t>
        </is>
      </c>
      <c r="B373" s="12" t="n">
        <v>21453</v>
      </c>
      <c r="C373" s="12" t="n">
        <v>19112</v>
      </c>
      <c r="E373" t="n">
        <v>0</v>
      </c>
    </row>
    <row r="374">
      <c r="A374" s="12" t="inlineStr">
        <is>
          <t>us-gaap:ComprehensiveIncomeNetOfTax</t>
        </is>
      </c>
      <c r="B374" s="12" t="n">
        <v>67008</v>
      </c>
      <c r="C374" s="12" t="n">
        <v>51314</v>
      </c>
      <c r="E374" t="n">
        <v>0</v>
      </c>
    </row>
    <row r="375">
      <c r="A375" t="inlineStr">
        <is>
          <t>us-gaap:CostOfGoodsAndServicesSold</t>
        </is>
      </c>
      <c r="B375" t="n">
        <v>18505</v>
      </c>
      <c r="C375" t="n">
        <v>16128</v>
      </c>
      <c r="E375" t="n">
        <v>0</v>
      </c>
    </row>
    <row r="376">
      <c r="A376" t="inlineStr">
        <is>
          <t>us-gaap:CostOfGoodsAndServicesSold</t>
        </is>
      </c>
      <c r="B376" t="n">
        <v>4339</v>
      </c>
      <c r="C376" t="n">
        <v>3941</v>
      </c>
      <c r="E376" t="n">
        <v>0</v>
      </c>
    </row>
    <row r="377">
      <c r="A377" t="inlineStr">
        <is>
          <t>us-gaap:CostOfGoodsAndServicesSold</t>
        </is>
      </c>
      <c r="B377" t="n">
        <v>14166</v>
      </c>
      <c r="C377" t="n">
        <v>12187</v>
      </c>
      <c r="E377" t="n">
        <v>0</v>
      </c>
    </row>
    <row r="378">
      <c r="A378" t="inlineStr">
        <is>
          <t>us-gaap:CostOfGoodsAndServicesSold</t>
        </is>
      </c>
      <c r="B378" t="n">
        <v>54430</v>
      </c>
      <c r="C378" t="n">
        <v>49068</v>
      </c>
      <c r="E378" t="n">
        <v>0</v>
      </c>
    </row>
    <row r="379">
      <c r="A379" t="inlineStr">
        <is>
          <t>us-gaap:CostOfGoodsAndServicesSold</t>
        </is>
      </c>
      <c r="B379" t="n">
        <v>13834</v>
      </c>
      <c r="C379" t="n">
        <v>13933</v>
      </c>
      <c r="E379" t="n">
        <v>0</v>
      </c>
    </row>
    <row r="380">
      <c r="A380" s="12" t="inlineStr">
        <is>
          <t>us-gaap:CostOfGoodsAndServicesSold</t>
        </is>
      </c>
      <c r="B380" s="12" t="n">
        <v>40596</v>
      </c>
      <c r="C380" s="12" t="n">
        <v>35135</v>
      </c>
      <c r="E380" t="n">
        <v>0</v>
      </c>
    </row>
    <row r="381">
      <c r="A381" s="12" t="inlineStr">
        <is>
          <t>us-gaap:DebtSecuritiesAvailableForSaleRealizedGain</t>
        </is>
      </c>
      <c r="B381" s="12" t="n">
        <v>8</v>
      </c>
      <c r="C381" s="12" t="n">
        <v>4</v>
      </c>
      <c r="E381" t="n">
        <v>1</v>
      </c>
    </row>
    <row r="382">
      <c r="A382" s="12" t="inlineStr">
        <is>
          <t>us-gaap:DebtSecuritiesAvailableForSaleRealizedGain</t>
        </is>
      </c>
      <c r="B382" s="12" t="n">
        <v>14</v>
      </c>
      <c r="C382" s="12" t="n">
        <v>19</v>
      </c>
      <c r="E382" t="n">
        <v>1</v>
      </c>
    </row>
    <row r="383">
      <c r="A383" s="12" t="inlineStr">
        <is>
          <t>us-gaap:DebtSecuritiesAvailableForSaleRealizedLoss</t>
        </is>
      </c>
      <c r="B383" s="12" t="n">
        <v>24</v>
      </c>
      <c r="C383" s="12" t="n">
        <v>30</v>
      </c>
      <c r="E383" t="n">
        <v>0</v>
      </c>
    </row>
    <row r="384">
      <c r="A384" s="12" t="inlineStr">
        <is>
          <t>us-gaap:DebtSecuritiesAvailableForSaleRealizedLoss</t>
        </is>
      </c>
      <c r="B384" s="12" t="n">
        <v>78</v>
      </c>
      <c r="C384" s="12" t="n">
        <v>73</v>
      </c>
      <c r="E384" t="n">
        <v>0</v>
      </c>
    </row>
    <row r="385">
      <c r="A385" s="12" t="inlineStr">
        <is>
          <t>us-gaap:DeferredIncomeTaxExpenseBenefit</t>
        </is>
      </c>
      <c r="B385" s="12" t="n">
        <v>-1323</v>
      </c>
      <c r="C385" s="12" t="n">
        <v>-1675</v>
      </c>
      <c r="E385" t="n">
        <v>0</v>
      </c>
    </row>
    <row r="386">
      <c r="A386" s="12" t="inlineStr">
        <is>
          <t>us-gaap:DeferredIncomeTaxExpenseBenefit</t>
        </is>
      </c>
      <c r="B386" s="12" t="n">
        <v>-3593</v>
      </c>
      <c r="C386" s="12" t="n">
        <v>-4171</v>
      </c>
      <c r="E386" t="n">
        <v>0</v>
      </c>
    </row>
    <row r="387">
      <c r="A387" t="inlineStr">
        <is>
          <t>us-gaap:DerivativeInstrumentsNotDesignatedAsHedgingInstrumentsGainLossNet</t>
        </is>
      </c>
      <c r="B387" t="n">
        <v>299</v>
      </c>
      <c r="C387" t="n">
        <v>-10</v>
      </c>
      <c r="E387" t="n">
        <v>0</v>
      </c>
    </row>
    <row r="388">
      <c r="A388" t="inlineStr">
        <is>
          <t>us-gaap:DerivativeInstrumentsNotDesignatedAsHedgingInstrumentsGainLossNet</t>
        </is>
      </c>
      <c r="B388" t="n">
        <v>-8</v>
      </c>
      <c r="C388" t="n">
        <v>1</v>
      </c>
      <c r="E388" t="n">
        <v>1</v>
      </c>
    </row>
    <row r="389">
      <c r="A389" t="inlineStr">
        <is>
          <t>us-gaap:DerivativeInstrumentsNotDesignatedAsHedgingInstrumentsGainLossNet</t>
        </is>
      </c>
      <c r="B389" t="n">
        <v>-22</v>
      </c>
      <c r="C389" t="n">
        <v>-61</v>
      </c>
      <c r="E389" t="n">
        <v>0</v>
      </c>
    </row>
    <row r="390">
      <c r="A390" t="inlineStr">
        <is>
          <t>us-gaap:DerivativeInstrumentsNotDesignatedAsHedgingInstrumentsGainLossNet</t>
        </is>
      </c>
      <c r="B390" t="n">
        <v>171</v>
      </c>
      <c r="C390" t="n">
        <v>-20</v>
      </c>
      <c r="E390" t="n">
        <v>0</v>
      </c>
    </row>
    <row r="391">
      <c r="A391" t="inlineStr">
        <is>
          <t>us-gaap:DerivativeInstrumentsNotDesignatedAsHedgingInstrumentsGainLossNet</t>
        </is>
      </c>
      <c r="B391" t="n">
        <v>-5</v>
      </c>
      <c r="C391" t="n">
        <v>-34</v>
      </c>
      <c r="E391" t="n">
        <v>1</v>
      </c>
    </row>
    <row r="392">
      <c r="A392" s="12" t="inlineStr">
        <is>
          <t>us-gaap:DerivativeInstrumentsNotDesignatedAsHedgingInstrumentsGainLossNet</t>
        </is>
      </c>
      <c r="B392" s="12" t="n">
        <v>-196</v>
      </c>
      <c r="C392" s="12" t="n">
        <v>-230</v>
      </c>
      <c r="E392" t="n">
        <v>0</v>
      </c>
    </row>
    <row r="393">
      <c r="A393" t="inlineStr">
        <is>
          <t>us-gaap:DerivativeInstrumentsNotDesignatedAsHedgingInstrumentsGainLossNet</t>
        </is>
      </c>
      <c r="B393" t="n">
        <v>-5</v>
      </c>
      <c r="C393" t="n">
        <v>-264</v>
      </c>
      <c r="E393" t="n">
        <v>1</v>
      </c>
    </row>
    <row r="394">
      <c r="A394" t="inlineStr">
        <is>
          <t>us-gaap:DividendsCommonStockCash</t>
        </is>
      </c>
      <c r="B394" t="n">
        <v>5574</v>
      </c>
      <c r="C394" t="n">
        <v>5054</v>
      </c>
      <c r="E394" t="n">
        <v>0</v>
      </c>
    </row>
    <row r="395">
      <c r="A395" t="inlineStr">
        <is>
          <t>us-gaap:DividendsCommonStockCash</t>
        </is>
      </c>
      <c r="B395" t="n">
        <v>5573</v>
      </c>
      <c r="C395" t="n">
        <v>5053</v>
      </c>
      <c r="E395" t="n">
        <v>0</v>
      </c>
    </row>
    <row r="396">
      <c r="A396" t="inlineStr">
        <is>
          <t>us-gaap:DividendsCommonStockCash</t>
        </is>
      </c>
      <c r="B396" t="n">
        <v>16721</v>
      </c>
      <c r="C396" t="n">
        <v>15179</v>
      </c>
      <c r="E396" t="n">
        <v>1</v>
      </c>
    </row>
    <row r="397">
      <c r="A397" t="inlineStr">
        <is>
          <t>us-gaap:DividendsCommonStockCash</t>
        </is>
      </c>
      <c r="B397" t="n">
        <v>16718</v>
      </c>
      <c r="C397" t="n">
        <v>15176</v>
      </c>
      <c r="E397" t="n">
        <v>0</v>
      </c>
    </row>
    <row r="398">
      <c r="A398" t="inlineStr">
        <is>
          <t>us-gaap:DividendsCommonStockCash</t>
        </is>
      </c>
      <c r="B398" t="n">
        <v>16721</v>
      </c>
      <c r="C398" t="n">
        <v>15182</v>
      </c>
      <c r="E398" t="n">
        <v>1</v>
      </c>
    </row>
    <row r="399">
      <c r="A399" t="inlineStr">
        <is>
          <t>us-gaap:EarningsPerShareBasic</t>
        </is>
      </c>
      <c r="B399" t="n">
        <v>2.95</v>
      </c>
      <c r="C399" t="n">
        <v>2.46</v>
      </c>
      <c r="E399" t="n">
        <v>0</v>
      </c>
    </row>
    <row r="400">
      <c r="A400" t="inlineStr">
        <is>
          <t>us-gaap:EarningsPerShareBasic</t>
        </is>
      </c>
      <c r="B400" t="n">
        <v>8.9</v>
      </c>
      <c r="C400" t="n">
        <v>7.02</v>
      </c>
      <c r="E400" t="n">
        <v>0</v>
      </c>
    </row>
    <row r="401">
      <c r="A401" t="inlineStr">
        <is>
          <t>us-gaap:EarningsPerShareDiluted</t>
        </is>
      </c>
      <c r="B401" t="n">
        <v>8.85</v>
      </c>
      <c r="C401" t="n">
        <v>6.99</v>
      </c>
      <c r="E401" t="n">
        <v>0</v>
      </c>
    </row>
    <row r="402">
      <c r="A402" t="inlineStr">
        <is>
          <t>us-gaap:EffectOfExchangeRateOnCashCashEquivalentsRestrictedCashAndRestrictedCashEquivalentsIncludingDisposalGroupAndDiscontinuedOperations</t>
        </is>
      </c>
      <c r="B402" t="n">
        <v>-80</v>
      </c>
      <c r="C402" t="n">
        <v>29</v>
      </c>
      <c r="E402" t="n">
        <v>0</v>
      </c>
    </row>
    <row r="403">
      <c r="A403" t="inlineStr">
        <is>
          <t>us-gaap:EffectOfExchangeRateOnCashCashEquivalentsRestrictedCashAndRestrictedCashEquivalentsIncludingDisposalGroupAndDiscontinuedOperations</t>
        </is>
      </c>
      <c r="B403" t="n">
        <v>-107</v>
      </c>
      <c r="C403" t="n">
        <v>-113</v>
      </c>
      <c r="E403" t="n">
        <v>0</v>
      </c>
    </row>
    <row r="404">
      <c r="A404" t="inlineStr">
        <is>
          <t>us-gaap:EffectiveIncomeTaxRateContinuingOperations</t>
        </is>
      </c>
      <c r="B404" t="n">
        <v>18</v>
      </c>
      <c r="C404" t="n">
        <v>19</v>
      </c>
      <c r="E404" t="n">
        <v>1</v>
      </c>
    </row>
    <row r="405">
      <c r="A405" t="inlineStr">
        <is>
          <t>us-gaap:EquitySecuritiesFvNiRealizedGainLoss</t>
        </is>
      </c>
      <c r="B405" t="n">
        <v>15</v>
      </c>
      <c r="C405" t="n">
        <v>-13</v>
      </c>
      <c r="E405" t="n">
        <v>1</v>
      </c>
    </row>
    <row r="406">
      <c r="A406" t="inlineStr">
        <is>
          <t>us-gaap:EquitySecuritiesFvNiRealizedGainLoss</t>
        </is>
      </c>
      <c r="B406" t="n">
        <v>29</v>
      </c>
      <c r="C406" t="n">
        <v>77</v>
      </c>
      <c r="E406" t="n">
        <v>1</v>
      </c>
    </row>
    <row r="407">
      <c r="A407" t="inlineStr">
        <is>
          <t>us-gaap:EquitySecuritiesFvNiUnrealizedGainLoss</t>
        </is>
      </c>
      <c r="B407" t="n">
        <v>-7</v>
      </c>
      <c r="C407" t="n">
        <v>144</v>
      </c>
      <c r="E407" t="n">
        <v>1</v>
      </c>
    </row>
    <row r="408">
      <c r="A408" s="12" t="inlineStr">
        <is>
          <t>us-gaap:EquitySecuritiesFvNiUnrealizedGainLoss</t>
        </is>
      </c>
      <c r="B408" s="12" t="n">
        <v>156</v>
      </c>
      <c r="C408" s="12" t="n">
        <v>109</v>
      </c>
      <c r="E408" t="n">
        <v>0</v>
      </c>
    </row>
    <row r="409">
      <c r="A409" s="12" t="inlineStr">
        <is>
          <t>us-gaap:FinanceLeaseInterestExpense</t>
        </is>
      </c>
      <c r="B409" s="12" t="n">
        <v>190</v>
      </c>
      <c r="C409" s="12" t="n">
        <v>132</v>
      </c>
      <c r="E409" t="n">
        <v>0</v>
      </c>
    </row>
    <row r="410">
      <c r="A410" t="inlineStr">
        <is>
          <t>us-gaap:FinanceLeaseInterestExpense</t>
        </is>
      </c>
      <c r="B410" t="n">
        <v>507</v>
      </c>
      <c r="C410" t="n">
        <v>364</v>
      </c>
      <c r="E410" t="n">
        <v>0</v>
      </c>
    </row>
    <row r="411">
      <c r="A411" t="inlineStr">
        <is>
          <t>us-gaap:FinanceLeasePrincipalPayments</t>
        </is>
      </c>
      <c r="B411" t="n">
        <v>323</v>
      </c>
      <c r="C411" t="n">
        <v>272</v>
      </c>
      <c r="E411" t="n">
        <v>0</v>
      </c>
    </row>
    <row r="412">
      <c r="A412" t="inlineStr">
        <is>
          <t>us-gaap:FinanceLeasePrincipalPayments</t>
        </is>
      </c>
      <c r="B412" t="n">
        <v>896</v>
      </c>
      <c r="C412" t="n">
        <v>790</v>
      </c>
      <c r="E412" t="n">
        <v>0</v>
      </c>
    </row>
    <row r="413">
      <c r="A413" t="inlineStr">
        <is>
          <t>us-gaap:FinanceLeaseRightOfUseAssetAmortization</t>
        </is>
      </c>
      <c r="B413" t="n">
        <v>453</v>
      </c>
      <c r="C413" t="n">
        <v>348</v>
      </c>
      <c r="E413" t="n">
        <v>0</v>
      </c>
    </row>
    <row r="414">
      <c r="A414" t="inlineStr">
        <is>
          <t>us-gaap:FinanceLeaseRightOfUseAssetAmortization</t>
        </is>
      </c>
      <c r="B414" t="n">
        <v>1241</v>
      </c>
      <c r="C414" t="n">
        <v>994</v>
      </c>
      <c r="E414" t="n">
        <v>0</v>
      </c>
    </row>
    <row r="415">
      <c r="A415" t="inlineStr">
        <is>
          <t>us-gaap:ForeignCurrencyTransactionGainLossBeforeTax</t>
        </is>
      </c>
      <c r="B415" t="n">
        <v>-138</v>
      </c>
      <c r="C415" t="n">
        <v>122</v>
      </c>
      <c r="E415" t="n">
        <v>1</v>
      </c>
    </row>
    <row r="416">
      <c r="A416" t="inlineStr">
        <is>
          <t>us-gaap:ForeignCurrencyTransactionGainLossBeforeTax</t>
        </is>
      </c>
      <c r="B416" t="n">
        <v>-203</v>
      </c>
      <c r="C416" t="n">
        <v>26</v>
      </c>
      <c r="E416" t="n">
        <v>1</v>
      </c>
    </row>
    <row r="417">
      <c r="A417" t="inlineStr">
        <is>
          <t>us-gaap:GainLossOnDerivativeInstrumentsNetPretax</t>
        </is>
      </c>
      <c r="B417" t="n">
        <v>-24</v>
      </c>
      <c r="C417" t="n">
        <v>-65</v>
      </c>
      <c r="E417" t="n">
        <v>0</v>
      </c>
    </row>
    <row r="418">
      <c r="A418" t="inlineStr">
        <is>
          <t>us-gaap:GainLossOnDerivativeInstrumentsNetPretax</t>
        </is>
      </c>
      <c r="B418" t="n">
        <v>-198</v>
      </c>
      <c r="C418" t="n">
        <v>-255</v>
      </c>
      <c r="E418" t="n">
        <v>0</v>
      </c>
    </row>
    <row r="419">
      <c r="A419" t="inlineStr">
        <is>
          <t>us-gaap:GainLossOnInvestments</t>
        </is>
      </c>
      <c r="B419" t="n">
        <v>-25</v>
      </c>
      <c r="C419" t="n">
        <v>105</v>
      </c>
      <c r="E419" t="n">
        <v>1</v>
      </c>
    </row>
    <row r="420">
      <c r="A420" t="inlineStr">
        <is>
          <t>us-gaap:GainLossOnInvestments</t>
        </is>
      </c>
      <c r="B420" t="n">
        <v>-13</v>
      </c>
      <c r="C420" t="n">
        <v>-26</v>
      </c>
      <c r="E420" t="n">
        <v>0</v>
      </c>
    </row>
    <row r="421">
      <c r="A421" t="inlineStr">
        <is>
          <t>us-gaap:GainLossOnInvestments</t>
        </is>
      </c>
      <c r="B421" t="n">
        <v>-12</v>
      </c>
      <c r="C421" t="n">
        <v>131</v>
      </c>
      <c r="E421" t="n">
        <v>0</v>
      </c>
    </row>
    <row r="422">
      <c r="A422" t="inlineStr">
        <is>
          <t>us-gaap:GainLossOnInvestments</t>
        </is>
      </c>
      <c r="B422" t="n">
        <v>-63</v>
      </c>
      <c r="C422" t="n">
        <v>103</v>
      </c>
      <c r="E422" t="n">
        <v>0</v>
      </c>
    </row>
    <row r="423">
      <c r="A423" t="inlineStr">
        <is>
          <t>us-gaap:GainLossOnInvestments</t>
        </is>
      </c>
      <c r="B423" t="n">
        <v>-49</v>
      </c>
      <c r="C423" t="n">
        <v>-67</v>
      </c>
      <c r="E423" t="n">
        <v>1</v>
      </c>
    </row>
    <row r="424">
      <c r="A424" t="inlineStr">
        <is>
          <t>us-gaap:GainLossOnInvestments</t>
        </is>
      </c>
      <c r="B424" t="n">
        <v>-14</v>
      </c>
      <c r="C424" t="n">
        <v>170</v>
      </c>
      <c r="E424" t="n">
        <v>0</v>
      </c>
    </row>
    <row r="425">
      <c r="A425" t="inlineStr">
        <is>
          <t>us-gaap:GeneralAndAdministrativeExpense</t>
        </is>
      </c>
      <c r="B425" t="n">
        <v>1912</v>
      </c>
      <c r="C425" t="n">
        <v>1643</v>
      </c>
      <c r="E425" t="n">
        <v>0</v>
      </c>
    </row>
    <row r="426">
      <c r="A426" t="inlineStr">
        <is>
          <t>us-gaap:GeneralAndAdministrativeExpense</t>
        </is>
      </c>
      <c r="B426" t="n">
        <v>5363</v>
      </c>
      <c r="C426" t="n">
        <v>5378</v>
      </c>
      <c r="E426" t="n">
        <v>0</v>
      </c>
    </row>
    <row r="427">
      <c r="A427" t="inlineStr">
        <is>
          <t>us-gaap:GoodwillAcquiredDuringPeriod</t>
        </is>
      </c>
      <c r="B427" t="n">
        <v>51235</v>
      </c>
      <c r="C427" t="n">
        <v>234</v>
      </c>
      <c r="E427" t="n">
        <v>1</v>
      </c>
    </row>
    <row r="428">
      <c r="A428" t="inlineStr">
        <is>
          <t>us-gaap:GoodwillAcquiredDuringPeriod</t>
        </is>
      </c>
      <c r="B428" t="n">
        <v>0</v>
      </c>
      <c r="C428" t="n">
        <v>223</v>
      </c>
      <c r="E428" t="n">
        <v>1</v>
      </c>
    </row>
    <row r="429">
      <c r="A429" t="inlineStr">
        <is>
          <t>us-gaap:GoodwillAcquiredDuringPeriod</t>
        </is>
      </c>
      <c r="B429" t="n">
        <v>51235</v>
      </c>
      <c r="C429" t="n">
        <v>0</v>
      </c>
      <c r="E429" t="n">
        <v>1</v>
      </c>
    </row>
    <row r="430">
      <c r="A430" t="inlineStr">
        <is>
          <t>us-gaap:GoodwillAcquiredDuringPeriod</t>
        </is>
      </c>
      <c r="B430" t="n">
        <v>0</v>
      </c>
      <c r="C430" t="n">
        <v>11</v>
      </c>
      <c r="E430" t="n">
        <v>1</v>
      </c>
    </row>
    <row r="431">
      <c r="A431" t="inlineStr">
        <is>
          <t>us-gaap:GoodwillOtherIncreaseDecrease</t>
        </is>
      </c>
      <c r="B431" t="n">
        <v>42</v>
      </c>
      <c r="C431" t="n">
        <v>182</v>
      </c>
      <c r="E431" t="n">
        <v>0</v>
      </c>
    </row>
    <row r="432">
      <c r="A432" t="inlineStr">
        <is>
          <t>us-gaap:GoodwillOtherIncreaseDecrease</t>
        </is>
      </c>
      <c r="B432" t="n">
        <v>-17</v>
      </c>
      <c r="C432" t="n">
        <v>87</v>
      </c>
      <c r="E432" t="n">
        <v>1</v>
      </c>
    </row>
    <row r="433">
      <c r="A433" t="inlineStr">
        <is>
          <t>us-gaap:GoodwillOtherIncreaseDecrease</t>
        </is>
      </c>
      <c r="B433" t="n">
        <v>56</v>
      </c>
      <c r="C433" t="n">
        <v>122</v>
      </c>
      <c r="E433" t="n">
        <v>1</v>
      </c>
    </row>
    <row r="434">
      <c r="A434" t="inlineStr">
        <is>
          <t>us-gaap:GoodwillOtherIncreaseDecrease</t>
        </is>
      </c>
      <c r="B434" t="n">
        <v>3</v>
      </c>
      <c r="C434" t="n">
        <v>-27</v>
      </c>
      <c r="E434" t="n">
        <v>1</v>
      </c>
    </row>
    <row r="435">
      <c r="A435" t="inlineStr">
        <is>
          <t>us-gaap:GrossProfit</t>
        </is>
      </c>
      <c r="B435" t="n">
        <v>43353</v>
      </c>
      <c r="C435" t="n">
        <v>36729</v>
      </c>
      <c r="E435" t="n">
        <v>0</v>
      </c>
    </row>
    <row r="436">
      <c r="A436" t="inlineStr">
        <is>
          <t>us-gaap:GrossProfit</t>
        </is>
      </c>
      <c r="B436" t="n">
        <v>125965</v>
      </c>
      <c r="C436" t="n">
        <v>106658</v>
      </c>
      <c r="E436" t="n">
        <v>0</v>
      </c>
    </row>
    <row r="437">
      <c r="A437" t="inlineStr">
        <is>
          <t>us-gaap:IncomeLossFromContinuingOperationsBeforeIncomeTaxesExtraordinaryItemsNoncontrollingInterest</t>
        </is>
      </c>
      <c r="B437" t="n">
        <v>26727</v>
      </c>
      <c r="C437" t="n">
        <v>22673</v>
      </c>
      <c r="E437" t="n">
        <v>0</v>
      </c>
    </row>
    <row r="438">
      <c r="A438" t="inlineStr">
        <is>
          <t>us-gaap:IncomeLossFromContinuingOperationsBeforeIncomeTaxesExtraordinaryItemsNoncontrollingInterest</t>
        </is>
      </c>
      <c r="B438" t="n">
        <v>80537</v>
      </c>
      <c r="C438" t="n">
        <v>64584</v>
      </c>
      <c r="E438" t="n">
        <v>0</v>
      </c>
    </row>
    <row r="439">
      <c r="A439" t="inlineStr">
        <is>
          <t>us-gaap:IncomeTaxExpenseBenefit</t>
        </is>
      </c>
      <c r="B439" t="n">
        <v>4788</v>
      </c>
      <c r="C439" t="n">
        <v>4374</v>
      </c>
      <c r="E439" t="n">
        <v>0</v>
      </c>
    </row>
    <row r="440">
      <c r="A440" t="inlineStr">
        <is>
          <t>us-gaap:IncomeTaxExpenseBenefit</t>
        </is>
      </c>
      <c r="B440" t="n">
        <v>14437</v>
      </c>
      <c r="C440" t="n">
        <v>12304</v>
      </c>
      <c r="E440" t="n">
        <v>0</v>
      </c>
    </row>
    <row r="441">
      <c r="A441" t="inlineStr">
        <is>
          <t>us-gaap:IncreaseDecreaseInAccountsPayable</t>
        </is>
      </c>
      <c r="B441" t="n">
        <v>648</v>
      </c>
      <c r="C441" t="n">
        <v>-407</v>
      </c>
      <c r="E441" t="n">
        <v>0</v>
      </c>
    </row>
    <row r="442">
      <c r="A442" t="inlineStr">
        <is>
          <t>us-gaap:IncreaseDecreaseInAccountsPayable</t>
        </is>
      </c>
      <c r="B442" t="n">
        <v>-659</v>
      </c>
      <c r="C442" t="n">
        <v>-4032</v>
      </c>
      <c r="E442" t="n">
        <v>0</v>
      </c>
    </row>
    <row r="443">
      <c r="A443" t="inlineStr">
        <is>
          <t>us-gaap:IncreaseDecreaseInAccountsReceivable</t>
        </is>
      </c>
      <c r="B443" t="n">
        <v>2028</v>
      </c>
      <c r="C443" t="n">
        <v>1408</v>
      </c>
      <c r="E443" t="n">
        <v>0</v>
      </c>
    </row>
    <row r="444">
      <c r="A444" t="inlineStr">
        <is>
          <t>us-gaap:IncreaseDecreaseInAccountsReceivable</t>
        </is>
      </c>
      <c r="B444" t="n">
        <v>-6055</v>
      </c>
      <c r="C444" t="n">
        <v>-7157</v>
      </c>
      <c r="E444" t="n">
        <v>0</v>
      </c>
    </row>
    <row r="445">
      <c r="A445" s="12" t="inlineStr">
        <is>
          <t>us-gaap:IncreaseDecreaseInAccruedIncomeTaxesPayable</t>
        </is>
      </c>
      <c r="B445" s="12" t="n">
        <v>2622</v>
      </c>
      <c r="C445" s="12" t="n">
        <v>1414</v>
      </c>
      <c r="E445" t="n">
        <v>0</v>
      </c>
    </row>
    <row r="446">
      <c r="A446" s="12" t="inlineStr">
        <is>
          <t>us-gaap:IncreaseDecreaseInAccruedIncomeTaxesPayable</t>
        </is>
      </c>
      <c r="B446" s="12" t="n">
        <v>2493</v>
      </c>
      <c r="C446" s="12" t="n">
        <v>-1039</v>
      </c>
      <c r="E446" t="n">
        <v>0</v>
      </c>
    </row>
    <row r="447">
      <c r="A447" s="12" t="inlineStr">
        <is>
          <t>us-gaap:IncreaseDecreaseInContractWithCustomerLiability</t>
        </is>
      </c>
      <c r="B447" s="12" t="n">
        <v>-645</v>
      </c>
      <c r="C447" s="12" t="n">
        <v>-181</v>
      </c>
      <c r="E447" t="n">
        <v>0</v>
      </c>
    </row>
    <row r="448">
      <c r="A448" s="12" t="inlineStr">
        <is>
          <t>us-gaap:IncreaseDecreaseInContractWithCustomerLiability</t>
        </is>
      </c>
      <c r="B448" s="12" t="n">
        <v>-10309</v>
      </c>
      <c r="C448" s="12" t="n">
        <v>-8689</v>
      </c>
      <c r="E448" t="n">
        <v>0</v>
      </c>
    </row>
    <row r="449">
      <c r="A449" s="12" t="inlineStr">
        <is>
          <t>us-gaap:IncreaseDecreaseInInventories</t>
        </is>
      </c>
      <c r="B449" s="12" t="n">
        <v>-260</v>
      </c>
      <c r="C449" s="12" t="n">
        <v>-106</v>
      </c>
      <c r="E449" t="n">
        <v>0</v>
      </c>
    </row>
    <row r="450">
      <c r="A450" s="12" t="inlineStr">
        <is>
          <t>us-gaap:IncreaseDecreaseInInventories</t>
        </is>
      </c>
      <c r="B450" s="12" t="n">
        <v>-1229</v>
      </c>
      <c r="C450" s="12" t="n">
        <v>-868</v>
      </c>
      <c r="E450" t="n">
        <v>0</v>
      </c>
    </row>
    <row r="451">
      <c r="A451" s="12" t="inlineStr">
        <is>
          <t>us-gaap:IncreaseDecreaseInOtherCurrentAssets</t>
        </is>
      </c>
      <c r="B451" s="12" t="n">
        <v>-951</v>
      </c>
      <c r="C451" s="12" t="n">
        <v>-1152</v>
      </c>
      <c r="E451" t="n">
        <v>0</v>
      </c>
    </row>
    <row r="452">
      <c r="A452" s="12" t="inlineStr">
        <is>
          <t>us-gaap:IncreaseDecreaseInOtherCurrentAssets</t>
        </is>
      </c>
      <c r="B452" s="12" t="n">
        <v>-880</v>
      </c>
      <c r="C452" s="12" t="n">
        <v>-428</v>
      </c>
      <c r="E452" t="n">
        <v>0</v>
      </c>
    </row>
    <row r="453">
      <c r="A453" s="12" t="inlineStr">
        <is>
          <t>us-gaap:IncreaseDecreaseInOtherCurrentLiabilities</t>
        </is>
      </c>
      <c r="B453" s="12" t="n">
        <v>2803</v>
      </c>
      <c r="C453" s="12" t="n">
        <v>1715</v>
      </c>
      <c r="E453" t="n">
        <v>0</v>
      </c>
    </row>
    <row r="454">
      <c r="A454" s="12" t="inlineStr">
        <is>
          <t>us-gaap:IncreaseDecreaseInOtherCurrentLiabilities</t>
        </is>
      </c>
      <c r="B454" s="12" t="n">
        <v>215</v>
      </c>
      <c r="C454" s="12" t="n">
        <v>-490</v>
      </c>
      <c r="E454" t="n">
        <v>0</v>
      </c>
    </row>
    <row r="455">
      <c r="A455" s="12" t="inlineStr">
        <is>
          <t>us-gaap:IncreaseDecreaseInOtherNoncurrentAssets</t>
        </is>
      </c>
      <c r="B455" s="12" t="n">
        <v>2137</v>
      </c>
      <c r="C455" s="12" t="n">
        <v>554</v>
      </c>
      <c r="E455" t="n">
        <v>0</v>
      </c>
    </row>
    <row r="456">
      <c r="A456" s="12" t="inlineStr">
        <is>
          <t>us-gaap:IncreaseDecreaseInOtherNoncurrentAssets</t>
        </is>
      </c>
      <c r="B456" s="12" t="n">
        <v>5577</v>
      </c>
      <c r="C456" s="12" t="n">
        <v>1285</v>
      </c>
      <c r="E456" t="n">
        <v>0</v>
      </c>
    </row>
    <row r="457">
      <c r="A457" s="12" t="inlineStr">
        <is>
          <t>us-gaap:IncreaseDecreaseInOtherNoncurrentLiabilities</t>
        </is>
      </c>
      <c r="B457" s="12" t="n">
        <v>48</v>
      </c>
      <c r="C457" s="12" t="n">
        <v>6</v>
      </c>
      <c r="E457" t="n">
        <v>1</v>
      </c>
    </row>
    <row r="458">
      <c r="A458" s="12" t="inlineStr">
        <is>
          <t>us-gaap:IncreaseDecreaseInOtherNoncurrentLiabilities</t>
        </is>
      </c>
      <c r="B458" s="12" t="n">
        <v>313</v>
      </c>
      <c r="C458" s="12" t="n">
        <v>451</v>
      </c>
      <c r="E458" t="n">
        <v>0</v>
      </c>
    </row>
    <row r="459">
      <c r="A459" s="12" t="inlineStr">
        <is>
          <t>us-gaap:IncrementalCommonSharesAttributableToShareBasedPaymentArrangements</t>
        </is>
      </c>
      <c r="B459" s="12" t="n">
        <v>41</v>
      </c>
      <c r="C459" s="12" t="n">
        <v>23</v>
      </c>
      <c r="E459" t="n">
        <v>1</v>
      </c>
    </row>
    <row r="460">
      <c r="A460" s="12" t="inlineStr">
        <is>
          <t>us-gaap:IncrementalCommonSharesAttributableToShareBasedPaymentArrangements</t>
        </is>
      </c>
      <c r="B460" s="12" t="n">
        <v>36</v>
      </c>
      <c r="C460" s="12" t="n">
        <v>24</v>
      </c>
      <c r="E460" t="n">
        <v>1</v>
      </c>
    </row>
    <row r="461">
      <c r="A461" t="inlineStr">
        <is>
          <t>us-gaap:InterestExpense</t>
        </is>
      </c>
      <c r="B461" t="n">
        <v>800</v>
      </c>
      <c r="C461" t="n">
        <v>496</v>
      </c>
      <c r="E461" t="n">
        <v>1</v>
      </c>
    </row>
    <row r="462">
      <c r="A462" t="inlineStr">
        <is>
          <t>us-gaap:InterestExpense</t>
        </is>
      </c>
      <c r="B462" t="n">
        <v>2234</v>
      </c>
      <c r="C462" t="n">
        <v>1486</v>
      </c>
      <c r="E462" t="n">
        <v>0</v>
      </c>
    </row>
    <row r="463">
      <c r="A463" t="inlineStr">
        <is>
          <t>us-gaap:InvestmentIncomeNet</t>
        </is>
      </c>
      <c r="B463" t="n">
        <v>619</v>
      </c>
      <c r="C463" t="n">
        <v>748</v>
      </c>
      <c r="E463" t="n">
        <v>0</v>
      </c>
    </row>
    <row r="464">
      <c r="A464" t="inlineStr">
        <is>
          <t>us-gaap:InvestmentIncomeNet</t>
        </is>
      </c>
      <c r="B464" t="n">
        <v>2519</v>
      </c>
      <c r="C464" t="n">
        <v>2089</v>
      </c>
      <c r="E464" t="n">
        <v>0</v>
      </c>
    </row>
    <row r="465">
      <c r="A465" t="inlineStr">
        <is>
          <t>us-gaap:NetCashProvidedByUsedInFinancingActivities</t>
        </is>
      </c>
      <c r="B465" t="n">
        <v>-18808</v>
      </c>
      <c r="C465" t="n">
        <v>-10290</v>
      </c>
      <c r="E465" t="n">
        <v>0</v>
      </c>
    </row>
    <row r="466">
      <c r="A466" t="inlineStr">
        <is>
          <t>us-gaap:NetCashProvidedByUsedInFinancingActivities</t>
        </is>
      </c>
      <c r="B466" t="n">
        <v>-14194</v>
      </c>
      <c r="C466" t="n">
        <v>-32522</v>
      </c>
      <c r="E466" t="n">
        <v>0</v>
      </c>
    </row>
    <row r="467">
      <c r="A467" t="inlineStr">
        <is>
          <t>us-gaap:NetCashProvidedByUsedInInvestingActivities</t>
        </is>
      </c>
      <c r="B467" t="n">
        <v>-10700</v>
      </c>
      <c r="C467" t="n">
        <v>-3264</v>
      </c>
      <c r="E467" t="n">
        <v>0</v>
      </c>
    </row>
    <row r="468">
      <c r="A468" t="inlineStr">
        <is>
          <t>us-gaap:NetCashProvidedByUsedInInvestingActivities</t>
        </is>
      </c>
      <c r="B468" t="n">
        <v>-82122</v>
      </c>
      <c r="C468" t="n">
        <v>-13546</v>
      </c>
      <c r="E468" t="n">
        <v>0</v>
      </c>
    </row>
    <row r="469">
      <c r="A469" t="inlineStr">
        <is>
          <t>us-gaap:NetCashProvidedByUsedInOperatingActivities</t>
        </is>
      </c>
      <c r="B469" t="n">
        <v>31917</v>
      </c>
      <c r="C469" t="n">
        <v>24441</v>
      </c>
      <c r="E469" t="n">
        <v>0</v>
      </c>
    </row>
    <row r="470">
      <c r="A470" t="inlineStr">
        <is>
          <t>us-gaap:NetCashProvidedByUsedInOperatingActivities</t>
        </is>
      </c>
      <c r="B470" t="n">
        <v>81353</v>
      </c>
      <c r="C470" t="n">
        <v>58812</v>
      </c>
      <c r="E470" t="n">
        <v>0</v>
      </c>
    </row>
    <row r="471">
      <c r="A471" t="inlineStr">
        <is>
          <t>us-gaap:NetIncomeLoss</t>
        </is>
      </c>
      <c r="B471" t="n">
        <v>21939</v>
      </c>
      <c r="C471" t="n">
        <v>18299</v>
      </c>
      <c r="E471" t="n">
        <v>0</v>
      </c>
    </row>
    <row r="472">
      <c r="A472" t="inlineStr">
        <is>
          <t>us-gaap:NetIncomeLoss</t>
        </is>
      </c>
      <c r="B472" t="n">
        <v>66100</v>
      </c>
      <c r="C472" t="n">
        <v>52280</v>
      </c>
      <c r="E472" t="n">
        <v>0</v>
      </c>
    </row>
    <row r="473">
      <c r="A473" t="inlineStr">
        <is>
          <t>us-gaap:NonoperatingIncomeExpense</t>
        </is>
      </c>
      <c r="B473" t="n">
        <v>-854</v>
      </c>
      <c r="C473" t="n">
        <v>321</v>
      </c>
      <c r="E473" t="n">
        <v>0</v>
      </c>
    </row>
    <row r="474">
      <c r="A474" t="inlineStr">
        <is>
          <t>us-gaap:NonoperatingIncomeExpense</t>
        </is>
      </c>
      <c r="B474" t="n">
        <v>-971</v>
      </c>
      <c r="C474" t="n">
        <v>315</v>
      </c>
      <c r="E474" t="n">
        <v>0</v>
      </c>
    </row>
    <row r="475">
      <c r="A475" t="inlineStr">
        <is>
          <t>us-gaap:OciBeforeReclassificationsNetOfTaxAttributableToParent</t>
        </is>
      </c>
      <c r="B475" t="n">
        <v>-19</v>
      </c>
      <c r="C475" t="n">
        <v>5</v>
      </c>
      <c r="E475" t="n">
        <v>1</v>
      </c>
    </row>
    <row r="476">
      <c r="A476" t="inlineStr">
        <is>
          <t>us-gaap:OciBeforeReclassificationsNetOfTaxAttributableToParent</t>
        </is>
      </c>
      <c r="B476" t="n">
        <v>-212</v>
      </c>
      <c r="C476" t="n">
        <v>732</v>
      </c>
      <c r="E476" t="n">
        <v>1</v>
      </c>
    </row>
    <row r="477">
      <c r="A477" t="inlineStr">
        <is>
          <t>us-gaap:OciBeforeReclassificationsNetOfTaxAttributableToParent</t>
        </is>
      </c>
      <c r="B477" t="n">
        <v>3</v>
      </c>
      <c r="C477" t="n">
        <v>14</v>
      </c>
      <c r="E477" t="n">
        <v>1</v>
      </c>
    </row>
    <row r="478">
      <c r="A478" t="inlineStr">
        <is>
          <t>us-gaap:OciBeforeReclassificationsNetOfTaxAttributableToParent</t>
        </is>
      </c>
      <c r="B478" t="n">
        <v>830</v>
      </c>
      <c r="C478" t="n">
        <v>-851</v>
      </c>
      <c r="E478" t="n">
        <v>0</v>
      </c>
    </row>
    <row r="479">
      <c r="A479" t="inlineStr">
        <is>
          <t>us-gaap:OpenTaxYear</t>
        </is>
      </c>
      <c r="B479" t="n">
        <v>1996</v>
      </c>
      <c r="C479" t="n">
        <v>1996</v>
      </c>
      <c r="E479" t="n">
        <v>0</v>
      </c>
    </row>
    <row r="480">
      <c r="A480" t="inlineStr">
        <is>
          <t>us-gaap:OpenTaxYear</t>
        </is>
      </c>
      <c r="B480" t="n">
        <v>2023</v>
      </c>
      <c r="C480" t="n">
        <v>2022</v>
      </c>
      <c r="E480" t="n">
        <v>0</v>
      </c>
    </row>
    <row r="481">
      <c r="A481" t="inlineStr">
        <is>
          <t>us-gaap:OperatingIncomeLoss</t>
        </is>
      </c>
      <c r="B481" t="n">
        <v>27581</v>
      </c>
      <c r="C481" t="n">
        <v>22352</v>
      </c>
      <c r="E481" t="n">
        <v>0</v>
      </c>
    </row>
    <row r="482">
      <c r="A482" t="inlineStr">
        <is>
          <t>us-gaap:OperatingIncomeLoss</t>
        </is>
      </c>
      <c r="B482" t="n">
        <v>12513</v>
      </c>
      <c r="C482" t="n">
        <v>9476</v>
      </c>
      <c r="E482" t="n">
        <v>0</v>
      </c>
    </row>
    <row r="483">
      <c r="A483" t="inlineStr">
        <is>
          <t>us-gaap:OperatingIncomeLoss</t>
        </is>
      </c>
      <c r="B483" t="n">
        <v>4925</v>
      </c>
      <c r="C483" t="n">
        <v>4237</v>
      </c>
      <c r="E483" t="n">
        <v>0</v>
      </c>
    </row>
    <row r="484">
      <c r="A484" t="inlineStr">
        <is>
          <t>us-gaap:OperatingIncomeLoss</t>
        </is>
      </c>
      <c r="B484" t="n">
        <v>10143</v>
      </c>
      <c r="C484" t="n">
        <v>8639</v>
      </c>
      <c r="E484" t="n">
        <v>0</v>
      </c>
    </row>
    <row r="485">
      <c r="A485" t="inlineStr">
        <is>
          <t>us-gaap:OperatingIncomeLoss</t>
        </is>
      </c>
      <c r="B485" t="n">
        <v>81508</v>
      </c>
      <c r="C485" t="n">
        <v>64269</v>
      </c>
      <c r="E485" t="n">
        <v>0</v>
      </c>
    </row>
    <row r="486">
      <c r="A486" t="inlineStr">
        <is>
          <t>us-gaap:OperatingIncomeLoss</t>
        </is>
      </c>
      <c r="B486" t="n">
        <v>36725</v>
      </c>
      <c r="C486" t="n">
        <v>27358</v>
      </c>
      <c r="E486" t="n">
        <v>0</v>
      </c>
    </row>
    <row r="487">
      <c r="A487" t="inlineStr">
        <is>
          <t>us-gaap:OperatingIncomeLoss</t>
        </is>
      </c>
      <c r="B487" t="n">
        <v>14386</v>
      </c>
      <c r="C487" t="n">
        <v>11774</v>
      </c>
      <c r="E487" t="n">
        <v>0</v>
      </c>
    </row>
    <row r="488">
      <c r="A488" t="inlineStr">
        <is>
          <t>us-gaap:OperatingIncomeLoss</t>
        </is>
      </c>
      <c r="B488" t="n">
        <v>30397</v>
      </c>
      <c r="C488" t="n">
        <v>25137</v>
      </c>
      <c r="E488" t="n">
        <v>0</v>
      </c>
    </row>
    <row r="489">
      <c r="A489" t="inlineStr">
        <is>
          <t>us-gaap:OperatingLeaseCost</t>
        </is>
      </c>
      <c r="B489" t="n">
        <v>882</v>
      </c>
      <c r="C489" t="n">
        <v>766</v>
      </c>
      <c r="E489" t="n">
        <v>0</v>
      </c>
    </row>
    <row r="490">
      <c r="A490" t="inlineStr">
        <is>
          <t>us-gaap:OperatingLeaseCost</t>
        </is>
      </c>
      <c r="B490" t="n">
        <v>2473</v>
      </c>
      <c r="C490" t="n">
        <v>2112</v>
      </c>
      <c r="E490" t="n">
        <v>0</v>
      </c>
    </row>
    <row r="491">
      <c r="A491" t="inlineStr">
        <is>
          <t>us-gaap:OperatingLeasePayments</t>
        </is>
      </c>
      <c r="B491" t="n">
        <v>836</v>
      </c>
      <c r="C491" t="n">
        <v>690</v>
      </c>
      <c r="E491" t="n">
        <v>0</v>
      </c>
    </row>
    <row r="492">
      <c r="A492" t="inlineStr">
        <is>
          <t>us-gaap:OperatingLeasePayments</t>
        </is>
      </c>
      <c r="B492" t="n">
        <v>2433</v>
      </c>
      <c r="C492" t="n">
        <v>1989</v>
      </c>
      <c r="E492" t="n">
        <v>0</v>
      </c>
    </row>
    <row r="493">
      <c r="A493" t="inlineStr">
        <is>
          <t>us-gaap:OtherComprehensiveIncomeLossAvailableForSaleSecuritiesAdjustmentNetOfTax</t>
        </is>
      </c>
      <c r="B493" t="n">
        <v>-202</v>
      </c>
      <c r="C493" t="n">
        <v>753</v>
      </c>
      <c r="E493" t="n">
        <v>0</v>
      </c>
    </row>
    <row r="494">
      <c r="A494" t="inlineStr">
        <is>
          <t>us-gaap:OtherComprehensiveIncomeLossAvailableForSaleSecuritiesAdjustmentNetOfTax</t>
        </is>
      </c>
      <c r="B494" t="n">
        <v>869</v>
      </c>
      <c r="C494" t="n">
        <v>-796</v>
      </c>
      <c r="E494" t="n">
        <v>0</v>
      </c>
    </row>
    <row r="495">
      <c r="A495" t="inlineStr">
        <is>
          <t>us-gaap:OtherComprehensiveIncomeLossBeforeReclassificationsTax</t>
        </is>
      </c>
      <c r="B495" t="n">
        <v>-5</v>
      </c>
      <c r="C495" t="n">
        <v>1</v>
      </c>
      <c r="E495" t="n">
        <v>1</v>
      </c>
    </row>
    <row r="496">
      <c r="A496" t="inlineStr">
        <is>
          <t>us-gaap:OtherComprehensiveIncomeLossBeforeReclassificationsTax</t>
        </is>
      </c>
      <c r="B496" t="n">
        <v>-56</v>
      </c>
      <c r="C496" t="n">
        <v>194</v>
      </c>
      <c r="E496" t="n">
        <v>0</v>
      </c>
    </row>
    <row r="497">
      <c r="A497" t="inlineStr">
        <is>
          <t>us-gaap:OtherComprehensiveIncomeLossBeforeReclassificationsTax</t>
        </is>
      </c>
      <c r="B497" t="n">
        <v>1</v>
      </c>
      <c r="C497" t="n">
        <v>3</v>
      </c>
      <c r="E497" t="n">
        <v>1</v>
      </c>
    </row>
    <row r="498">
      <c r="A498" t="inlineStr">
        <is>
          <t>us-gaap:OtherComprehensiveIncomeLossBeforeReclassificationsTax</t>
        </is>
      </c>
      <c r="B498" t="n">
        <v>221</v>
      </c>
      <c r="C498" t="n">
        <v>-225</v>
      </c>
      <c r="E498" t="n">
        <v>0</v>
      </c>
    </row>
    <row r="499">
      <c r="A499" t="inlineStr">
        <is>
          <t>us-gaap:OtherComprehensiveIncomeLossCashFlowHedgeGainLossAfterReclassificationAndTax</t>
        </is>
      </c>
      <c r="B499" t="n">
        <v>10</v>
      </c>
      <c r="C499" t="n">
        <v>-9</v>
      </c>
      <c r="E499" t="n">
        <v>1</v>
      </c>
    </row>
    <row r="500">
      <c r="A500" t="inlineStr">
        <is>
          <t>us-gaap:OtherComprehensiveIncomeLossCashFlowHedgeGainLossAfterReclassificationAndTax</t>
        </is>
      </c>
      <c r="B500" t="n">
        <v>28</v>
      </c>
      <c r="C500" t="n">
        <v>-34</v>
      </c>
      <c r="E500" t="n">
        <v>1</v>
      </c>
    </row>
    <row r="501">
      <c r="A501" t="inlineStr">
        <is>
          <t>us-gaap:OtherComprehensiveIncomeLossCashFlowHedgeGainLossReclassificationBeforeTax</t>
        </is>
      </c>
      <c r="B501" t="n">
        <v>-37</v>
      </c>
      <c r="C501" t="n">
        <v>18</v>
      </c>
      <c r="E501" t="n">
        <v>1</v>
      </c>
    </row>
    <row r="502">
      <c r="A502" t="inlineStr">
        <is>
          <t>us-gaap:OtherComprehensiveIncomeLossCashFlowHedgeGainLossReclassificationBeforeTax</t>
        </is>
      </c>
      <c r="B502" t="n">
        <v>-32</v>
      </c>
      <c r="C502" t="n">
        <v>62</v>
      </c>
      <c r="E502" t="n">
        <v>0</v>
      </c>
    </row>
    <row r="503">
      <c r="A503" t="inlineStr">
        <is>
          <t>us-gaap:OtherComprehensiveIncomeLossForeignCurrencyTransactionAndTranslationAdjustmentNetOfTax</t>
        </is>
      </c>
      <c r="B503" t="n">
        <v>-294</v>
      </c>
      <c r="C503" t="n">
        <v>69</v>
      </c>
      <c r="E503" t="n">
        <v>0</v>
      </c>
    </row>
    <row r="504">
      <c r="A504" t="inlineStr">
        <is>
          <t>us-gaap:OtherComprehensiveIncomeLossForeignCurrencyTransactionAndTranslationAdjustmentNetOfTax</t>
        </is>
      </c>
      <c r="B504" t="n">
        <v>11</v>
      </c>
      <c r="C504" t="n">
        <v>-136</v>
      </c>
      <c r="E504" t="n">
        <v>0</v>
      </c>
    </row>
    <row r="505">
      <c r="A505" t="inlineStr">
        <is>
          <t>us-gaap:OtherComprehensiveIncomeLossNetOfTaxPortionAttributableToParent</t>
        </is>
      </c>
      <c r="B505" t="n">
        <v>-486</v>
      </c>
      <c r="C505" t="n">
        <v>813</v>
      </c>
      <c r="E505" t="n">
        <v>1</v>
      </c>
    </row>
    <row r="506">
      <c r="A506" t="inlineStr">
        <is>
          <t>us-gaap:OtherComprehensiveIncomeLossNetOfTaxPortionAttributableToParent</t>
        </is>
      </c>
      <c r="B506" t="n">
        <v>908</v>
      </c>
      <c r="C506" t="n">
        <v>-966</v>
      </c>
      <c r="E506" t="n">
        <v>0</v>
      </c>
    </row>
    <row r="507">
      <c r="A507" t="inlineStr">
        <is>
          <t>us-gaap:OtherComprehensiveIncomeLossTaxPortionAttributableToParent1</t>
        </is>
      </c>
      <c r="B507" t="n">
        <v>3</v>
      </c>
      <c r="C507" t="n">
        <v>-3</v>
      </c>
      <c r="E507" t="n">
        <v>1</v>
      </c>
    </row>
    <row r="508">
      <c r="A508" t="inlineStr">
        <is>
          <t>us-gaap:OtherComprehensiveIncomeLossTaxPortionAttributableToParent1</t>
        </is>
      </c>
      <c r="B508" t="n">
        <v>-53</v>
      </c>
      <c r="C508" t="n">
        <v>199</v>
      </c>
      <c r="E508" t="n">
        <v>0</v>
      </c>
    </row>
    <row r="509">
      <c r="A509" s="12" t="inlineStr">
        <is>
          <t>us-gaap:OtherComprehensiveIncomeLossTaxPortionAttributableToParent1</t>
        </is>
      </c>
      <c r="B509" s="12" t="n">
        <v>8</v>
      </c>
      <c r="C509" s="12" t="n">
        <v>-11</v>
      </c>
      <c r="E509" t="n">
        <v>1</v>
      </c>
    </row>
    <row r="510">
      <c r="A510" s="12" t="inlineStr">
        <is>
          <t>us-gaap:OtherComprehensiveIncomeLossTaxPortionAttributableToParent1</t>
        </is>
      </c>
      <c r="B510" s="12" t="n">
        <v>231</v>
      </c>
      <c r="C510" s="12" t="n">
        <v>-212</v>
      </c>
      <c r="E510" t="n">
        <v>0</v>
      </c>
    </row>
    <row r="511">
      <c r="A511" s="12" t="inlineStr">
        <is>
          <t>us-gaap:OtherNonoperatingIncomeExpense</t>
        </is>
      </c>
      <c r="B511" s="12" t="n">
        <v>-486</v>
      </c>
      <c r="C511" s="12" t="n">
        <v>-93</v>
      </c>
      <c r="E511" t="n">
        <v>1</v>
      </c>
    </row>
    <row r="512">
      <c r="A512" s="12" t="inlineStr">
        <is>
          <t>us-gaap:OtherNonoperatingIncomeExpense</t>
        </is>
      </c>
      <c r="B512" s="12" t="n">
        <v>-792</v>
      </c>
      <c r="C512" s="12" t="n">
        <v>-162</v>
      </c>
      <c r="E512" t="n">
        <v>0</v>
      </c>
    </row>
    <row r="513">
      <c r="A513" s="12" t="inlineStr">
        <is>
          <t>us-gaap:PaymentsForProceedsFromOtherInvestingActivities</t>
        </is>
      </c>
      <c r="B513" s="12" t="n">
        <v>1281</v>
      </c>
      <c r="C513" s="12" t="n">
        <v>1686</v>
      </c>
      <c r="E513" t="n">
        <v>0</v>
      </c>
    </row>
    <row r="514">
      <c r="A514" s="12" t="inlineStr">
        <is>
          <t>us-gaap:PaymentsForProceedsFromOtherInvestingActivities</t>
        </is>
      </c>
      <c r="B514" s="12" t="n">
        <v>916</v>
      </c>
      <c r="C514" s="12" t="n">
        <v>2847</v>
      </c>
      <c r="E514" t="n">
        <v>0</v>
      </c>
    </row>
    <row r="515">
      <c r="A515" t="inlineStr">
        <is>
          <t>us-gaap:PaymentsForRepurchaseOfCommonStock</t>
        </is>
      </c>
      <c r="B515" t="n">
        <v>4213</v>
      </c>
      <c r="C515" t="n">
        <v>5509</v>
      </c>
      <c r="E515" t="n">
        <v>1</v>
      </c>
    </row>
    <row r="516">
      <c r="A516" t="inlineStr">
        <is>
          <t>us-gaap:PaymentsForRepurchaseOfCommonStock</t>
        </is>
      </c>
      <c r="B516" t="n">
        <v>13044</v>
      </c>
      <c r="C516" t="n">
        <v>16541</v>
      </c>
      <c r="E516" t="n">
        <v>0</v>
      </c>
    </row>
    <row r="517">
      <c r="A517" t="inlineStr">
        <is>
          <t>us-gaap:PaymentsOfDividendsCommonStock</t>
        </is>
      </c>
      <c r="B517" t="n">
        <v>5572</v>
      </c>
      <c r="C517" t="n">
        <v>5059</v>
      </c>
      <c r="E517" t="n">
        <v>0</v>
      </c>
    </row>
    <row r="518">
      <c r="A518" t="inlineStr">
        <is>
          <t>us-gaap:PaymentsOfDividendsCommonStock</t>
        </is>
      </c>
      <c r="B518" t="n">
        <v>16197</v>
      </c>
      <c r="C518" t="n">
        <v>14746</v>
      </c>
      <c r="E518" t="n">
        <v>0</v>
      </c>
    </row>
    <row r="519">
      <c r="A519" t="inlineStr">
        <is>
          <t>us-gaap:PaymentsRelatedToTaxWithholdingForShareBasedCompensation</t>
        </is>
      </c>
      <c r="B519" t="n">
        <v>1.4</v>
      </c>
      <c r="C519" t="n">
        <v>909</v>
      </c>
      <c r="E519" t="n">
        <v>1</v>
      </c>
    </row>
    <row r="520">
      <c r="A520" t="inlineStr">
        <is>
          <t>us-gaap:PaymentsRelatedToTaxWithholdingForShareBasedCompensation</t>
        </is>
      </c>
      <c r="B520" t="n">
        <v>3.9</v>
      </c>
      <c r="C520" t="n">
        <v>2.7</v>
      </c>
      <c r="E520" t="n">
        <v>1</v>
      </c>
    </row>
    <row r="521">
      <c r="A521" t="inlineStr">
        <is>
          <t>us-gaap:PaymentsToAcquireInvestments</t>
        </is>
      </c>
      <c r="B521" t="n">
        <v>2183</v>
      </c>
      <c r="C521" t="n">
        <v>9063</v>
      </c>
      <c r="E521" t="n">
        <v>0</v>
      </c>
    </row>
    <row r="522">
      <c r="A522" t="inlineStr">
        <is>
          <t>us-gaap:PaymentsToAcquireInvestments</t>
        </is>
      </c>
      <c r="B522" t="n">
        <v>14901</v>
      </c>
      <c r="C522" t="n">
        <v>25675</v>
      </c>
      <c r="E522" t="n">
        <v>0</v>
      </c>
    </row>
    <row r="523">
      <c r="A523" t="inlineStr">
        <is>
          <t>us-gaap:PaymentsToAcquirePropertyPlantAndEquipment</t>
        </is>
      </c>
      <c r="B523" t="n">
        <v>10952</v>
      </c>
      <c r="C523" t="n">
        <v>6607</v>
      </c>
      <c r="E523" t="n">
        <v>0</v>
      </c>
    </row>
    <row r="524">
      <c r="A524" t="inlineStr">
        <is>
          <t>us-gaap:PaymentsToAcquirePropertyPlantAndEquipment</t>
        </is>
      </c>
      <c r="B524" t="n">
        <v>30604</v>
      </c>
      <c r="C524" t="n">
        <v>19164</v>
      </c>
      <c r="E524" t="n">
        <v>0</v>
      </c>
    </row>
    <row r="525">
      <c r="A525" t="inlineStr">
        <is>
          <t>us-gaap:ProceedsFromDebtMaturingInMoreThanThreeMonths</t>
        </is>
      </c>
      <c r="B525" t="n">
        <v>6352</v>
      </c>
      <c r="C525" t="n">
        <v>0</v>
      </c>
      <c r="E525" t="n">
        <v>1</v>
      </c>
    </row>
    <row r="526">
      <c r="A526" t="inlineStr">
        <is>
          <t>us-gaap:ProceedsFromDebtMaturingInMoreThanThreeMonths</t>
        </is>
      </c>
      <c r="B526" t="n">
        <v>24198</v>
      </c>
      <c r="C526" t="n">
        <v>0</v>
      </c>
      <c r="E526" t="n">
        <v>1</v>
      </c>
    </row>
    <row r="527">
      <c r="A527" t="inlineStr">
        <is>
          <t>us-gaap:ProceedsFromIssuanceOfCommonStock</t>
        </is>
      </c>
      <c r="B527" t="n">
        <v>522</v>
      </c>
      <c r="C527" t="n">
        <v>536</v>
      </c>
      <c r="E527" t="n">
        <v>0</v>
      </c>
    </row>
    <row r="528">
      <c r="A528" t="inlineStr">
        <is>
          <t>us-gaap:ProceedsFromIssuanceOfCommonStock</t>
        </is>
      </c>
      <c r="B528" t="n">
        <v>1468</v>
      </c>
      <c r="C528" t="n">
        <v>1354</v>
      </c>
      <c r="E528" t="n">
        <v>0</v>
      </c>
    </row>
    <row r="529">
      <c r="A529" t="inlineStr">
        <is>
          <t>us-gaap:ProceedsFromMaturitiesPrepaymentsAndCallsOfAvailableForSaleSecurities</t>
        </is>
      </c>
      <c r="B529" t="n">
        <v>3350</v>
      </c>
      <c r="C529" t="n">
        <v>13154</v>
      </c>
      <c r="E529" t="n">
        <v>0</v>
      </c>
    </row>
    <row r="530">
      <c r="A530" t="inlineStr">
        <is>
          <t>us-gaap:ProceedsFromMaturitiesPrepaymentsAndCallsOfAvailableForSaleSecurities</t>
        </is>
      </c>
      <c r="B530" t="n">
        <v>23218</v>
      </c>
      <c r="C530" t="n">
        <v>26744</v>
      </c>
      <c r="E530" t="n">
        <v>0</v>
      </c>
    </row>
    <row r="531">
      <c r="A531" t="inlineStr">
        <is>
          <t>us-gaap:ProceedsFromPaymentsForOtherFinancingActivities</t>
        </is>
      </c>
      <c r="B531" t="n">
        <v>-498</v>
      </c>
      <c r="C531" t="n">
        <v>-258</v>
      </c>
      <c r="E531" t="n">
        <v>0</v>
      </c>
    </row>
    <row r="532">
      <c r="A532" t="inlineStr">
        <is>
          <t>us-gaap:ProceedsFromPaymentsForOtherFinancingActivities</t>
        </is>
      </c>
      <c r="B532" t="n">
        <v>-1006</v>
      </c>
      <c r="C532" t="n">
        <v>-839</v>
      </c>
      <c r="E532" t="n">
        <v>0</v>
      </c>
    </row>
    <row r="533">
      <c r="A533" t="inlineStr">
        <is>
          <t>us-gaap:ProceedsFromRepaymentsOfShortTermDebtMaturingInThreeMonthsOrLess</t>
        </is>
      </c>
      <c r="B533" t="n">
        <v>-3810</v>
      </c>
      <c r="C533" t="n">
        <v>0</v>
      </c>
      <c r="E533" t="n">
        <v>1</v>
      </c>
    </row>
    <row r="534">
      <c r="A534" t="inlineStr">
        <is>
          <t>us-gaap:ProceedsFromRepaymentsOfShortTermDebtMaturingInThreeMonthsOrLess</t>
        </is>
      </c>
      <c r="B534" t="n">
        <v>6392</v>
      </c>
      <c r="C534" t="n">
        <v>0</v>
      </c>
      <c r="E534" t="n">
        <v>1</v>
      </c>
    </row>
    <row r="535">
      <c r="A535" t="inlineStr">
        <is>
          <t>us-gaap:ReclassificationFromAociCurrentPeriodBeforeTaxAttributableToParent</t>
        </is>
      </c>
      <c r="B535" t="n">
        <v>-49</v>
      </c>
      <c r="C535" t="n">
        <v>-68</v>
      </c>
      <c r="E535" t="n">
        <v>1</v>
      </c>
    </row>
    <row r="536">
      <c r="A536" t="inlineStr">
        <is>
          <t>us-gaap:ReclassificationFromAociCurrentPeriodNetOfTaxAttributableToParent</t>
        </is>
      </c>
      <c r="B536" t="n">
        <v>-29</v>
      </c>
      <c r="C536" t="n">
        <v>14</v>
      </c>
      <c r="E536" t="n">
        <v>1</v>
      </c>
    </row>
    <row r="537">
      <c r="A537" t="inlineStr">
        <is>
          <t>us-gaap:ReclassificationFromAociCurrentPeriodNetOfTaxAttributableToParent</t>
        </is>
      </c>
      <c r="B537" t="n">
        <v>-10</v>
      </c>
      <c r="C537" t="n">
        <v>-21</v>
      </c>
      <c r="E537" t="n">
        <v>1</v>
      </c>
    </row>
    <row r="538">
      <c r="A538" t="inlineStr">
        <is>
          <t>us-gaap:ReclassificationFromAociCurrentPeriodNetOfTaxAttributableToParent</t>
        </is>
      </c>
      <c r="B538" t="n">
        <v>-25</v>
      </c>
      <c r="C538" t="n">
        <v>48</v>
      </c>
      <c r="E538" t="n">
        <v>1</v>
      </c>
    </row>
    <row r="539">
      <c r="A539" t="inlineStr">
        <is>
          <t>us-gaap:ReclassificationFromAociCurrentPeriodNetOfTaxAttributableToParent</t>
        </is>
      </c>
      <c r="B539" t="n">
        <v>-39</v>
      </c>
      <c r="C539" t="n">
        <v>-55</v>
      </c>
      <c r="E539" t="n">
        <v>0</v>
      </c>
    </row>
    <row r="540">
      <c r="A540" t="inlineStr">
        <is>
          <t>us-gaap:ReclassificationFromAociCurrentPeriodTax</t>
        </is>
      </c>
      <c r="B540" t="n">
        <v>-8</v>
      </c>
      <c r="C540" t="n">
        <v>4</v>
      </c>
      <c r="E540" t="n">
        <v>1</v>
      </c>
    </row>
    <row r="541">
      <c r="A541" t="inlineStr">
        <is>
          <t>us-gaap:ReclassificationFromAociCurrentPeriodTax</t>
        </is>
      </c>
      <c r="B541" t="n">
        <v>-3</v>
      </c>
      <c r="C541" t="n">
        <v>-5</v>
      </c>
      <c r="E541" t="n">
        <v>1</v>
      </c>
    </row>
    <row r="542">
      <c r="A542" t="inlineStr">
        <is>
          <t>us-gaap:ReclassificationFromAociCurrentPeriodTax</t>
        </is>
      </c>
      <c r="B542" t="n">
        <v>-7</v>
      </c>
      <c r="C542" t="n">
        <v>14</v>
      </c>
      <c r="E542" t="n">
        <v>1</v>
      </c>
    </row>
    <row r="543">
      <c r="A543" t="inlineStr">
        <is>
          <t>us-gaap:ReclassificationFromAociCurrentPeriodTax</t>
        </is>
      </c>
      <c r="B543" t="n">
        <v>-10</v>
      </c>
      <c r="C543" t="n">
        <v>-13</v>
      </c>
      <c r="E543" t="n">
        <v>1</v>
      </c>
    </row>
    <row r="544">
      <c r="A544" t="inlineStr">
        <is>
          <t>us-gaap:RepaymentsOfDebtMaturingInMoreThanThreeMonths</t>
        </is>
      </c>
      <c r="B544" t="n">
        <v>11589</v>
      </c>
      <c r="C544" t="n">
        <v>0</v>
      </c>
      <c r="E544" t="n">
        <v>1</v>
      </c>
    </row>
    <row r="545">
      <c r="A545" t="inlineStr">
        <is>
          <t>us-gaap:RepaymentsOfDebtMaturingInMoreThanThreeMonths</t>
        </is>
      </c>
      <c r="B545" t="n">
        <v>16005</v>
      </c>
      <c r="C545" t="n">
        <v>1750</v>
      </c>
      <c r="E545" t="n">
        <v>0</v>
      </c>
    </row>
    <row r="546">
      <c r="A546" t="inlineStr">
        <is>
          <t>us-gaap:ResearchAndDevelopmentExpense</t>
        </is>
      </c>
      <c r="B546" t="n">
        <v>7653</v>
      </c>
      <c r="C546" t="n">
        <v>6984</v>
      </c>
      <c r="E546" t="n">
        <v>0</v>
      </c>
    </row>
    <row r="547">
      <c r="A547" t="inlineStr">
        <is>
          <t>us-gaap:ResearchAndDevelopmentExpense</t>
        </is>
      </c>
      <c r="B547" t="n">
        <v>21454</v>
      </c>
      <c r="C547" t="n">
        <v>20456</v>
      </c>
      <c r="E547" t="n">
        <v>0</v>
      </c>
    </row>
    <row r="548">
      <c r="A548" t="inlineStr">
        <is>
          <t>us-gaap:RevenueFromContractWithCustomerExcludingAssessedTax</t>
        </is>
      </c>
      <c r="B548" t="n">
        <v>61858</v>
      </c>
      <c r="C548" t="n">
        <v>52857</v>
      </c>
      <c r="E548" t="n">
        <v>0</v>
      </c>
    </row>
    <row r="549">
      <c r="A549" t="inlineStr">
        <is>
          <t>us-gaap:RevenueFromContractWithCustomerExcludingAssessedTax</t>
        </is>
      </c>
      <c r="B549" t="n">
        <v>31437</v>
      </c>
      <c r="C549" t="n">
        <v>26007</v>
      </c>
      <c r="E549" t="n">
        <v>0</v>
      </c>
    </row>
    <row r="550">
      <c r="A550" t="inlineStr">
        <is>
          <t>us-gaap:RevenueFromContractWithCustomerExcludingAssessedTax</t>
        </is>
      </c>
      <c r="B550" t="n">
        <v>30421</v>
      </c>
      <c r="C550" t="n">
        <v>26850</v>
      </c>
      <c r="E550" t="n">
        <v>0</v>
      </c>
    </row>
    <row r="551">
      <c r="A551" t="inlineStr">
        <is>
          <t>us-gaap:RevenueFromContractWithCustomerExcludingAssessedTax</t>
        </is>
      </c>
      <c r="B551" t="n">
        <v>1067</v>
      </c>
      <c r="C551" t="n">
        <v>1282</v>
      </c>
      <c r="E551" t="n">
        <v>0</v>
      </c>
    </row>
    <row r="552">
      <c r="A552" t="inlineStr">
        <is>
          <t>us-gaap:RevenueFromContractWithCustomerExcludingAssessedTax</t>
        </is>
      </c>
      <c r="B552" t="n">
        <v>1646</v>
      </c>
      <c r="C552" t="n">
        <v>1389</v>
      </c>
      <c r="E552" t="n">
        <v>1</v>
      </c>
    </row>
    <row r="553">
      <c r="A553" t="inlineStr">
        <is>
          <t>us-gaap:RevenueFromContractWithCustomerExcludingAssessedTax</t>
        </is>
      </c>
      <c r="B553" t="n">
        <v>1861</v>
      </c>
      <c r="C553" t="n">
        <v>2047</v>
      </c>
      <c r="E553" t="n">
        <v>0</v>
      </c>
    </row>
    <row r="554">
      <c r="A554" t="inlineStr">
        <is>
          <t>us-gaap:RevenueFromContractWithCustomerExcludingAssessedTax</t>
        </is>
      </c>
      <c r="B554" t="n">
        <v>5451</v>
      </c>
      <c r="C554" t="n">
        <v>3607</v>
      </c>
      <c r="E554" t="n">
        <v>0</v>
      </c>
    </row>
    <row r="555">
      <c r="A555" t="inlineStr">
        <is>
          <t>us-gaap:RevenueFromContractWithCustomerExcludingAssessedTax</t>
        </is>
      </c>
      <c r="B555" t="n">
        <v>4013</v>
      </c>
      <c r="C555" t="n">
        <v>3659</v>
      </c>
      <c r="E555" t="n">
        <v>0</v>
      </c>
    </row>
    <row r="556">
      <c r="A556" t="inlineStr">
        <is>
          <t>us-gaap:RevenueFromContractWithCustomerExcludingAssessedTax</t>
        </is>
      </c>
      <c r="B556" t="n">
        <v>35.1</v>
      </c>
      <c r="C556" t="n">
        <v>28.5</v>
      </c>
      <c r="E556" t="n">
        <v>0</v>
      </c>
    </row>
    <row r="557">
      <c r="A557" t="inlineStr">
        <is>
          <t>us-gaap:RevenueFromContractWithCustomerExcludingAssessedTax</t>
        </is>
      </c>
      <c r="B557" t="n">
        <v>13911</v>
      </c>
      <c r="C557" t="n">
        <v>12468</v>
      </c>
      <c r="E557" t="n">
        <v>0</v>
      </c>
    </row>
    <row r="558">
      <c r="A558" t="inlineStr">
        <is>
          <t>us-gaap:RevenueFromContractWithCustomerExcludingAssessedTax</t>
        </is>
      </c>
      <c r="B558" t="n">
        <v>14</v>
      </c>
      <c r="C558" t="n">
        <v>16</v>
      </c>
      <c r="E558" t="n">
        <v>1</v>
      </c>
    </row>
    <row r="559">
      <c r="A559" t="inlineStr">
        <is>
          <t>us-gaap:RevenueFromContractWithCustomerExcludingAssessedTax</t>
        </is>
      </c>
      <c r="B559" t="n">
        <v>3134</v>
      </c>
      <c r="C559" t="n">
        <v>3036</v>
      </c>
      <c r="E559" t="n">
        <v>0</v>
      </c>
    </row>
    <row r="560">
      <c r="A560" t="inlineStr">
        <is>
          <t>us-gaap:RevenueFromContractWithCustomerExcludingAssessedTax</t>
        </is>
      </c>
      <c r="B560" t="n">
        <v>24832</v>
      </c>
      <c r="C560" t="n">
        <v>20025</v>
      </c>
      <c r="E560" t="n">
        <v>0</v>
      </c>
    </row>
    <row r="561">
      <c r="A561" t="inlineStr">
        <is>
          <t>us-gaap:RevenueFromContractWithCustomerExcludingAssessedTax</t>
        </is>
      </c>
      <c r="B561" t="n">
        <v>5929</v>
      </c>
      <c r="C561" t="n">
        <v>5328</v>
      </c>
      <c r="E561" t="n">
        <v>0</v>
      </c>
    </row>
    <row r="562">
      <c r="A562" t="inlineStr">
        <is>
          <t>us-gaap:RevenueFromContractWithCustomerExcludingAssessedTax</t>
        </is>
      </c>
      <c r="B562" t="n">
        <v>17080</v>
      </c>
      <c r="C562" t="n">
        <v>15588</v>
      </c>
      <c r="E562" t="n">
        <v>0</v>
      </c>
    </row>
    <row r="563">
      <c r="A563" t="inlineStr">
        <is>
          <t>us-gaap:RevenueFromContractWithCustomerExcludingAssessedTax</t>
        </is>
      </c>
      <c r="B563" t="n">
        <v>44778</v>
      </c>
      <c r="C563" t="n">
        <v>37269</v>
      </c>
      <c r="E563" t="n">
        <v>0</v>
      </c>
    </row>
    <row r="564">
      <c r="A564" t="inlineStr">
        <is>
          <t>us-gaap:RevenueFromContractWithCustomerExcludingAssessedTax</t>
        </is>
      </c>
      <c r="B564" t="n">
        <v>26708</v>
      </c>
      <c r="C564" t="n">
        <v>22081</v>
      </c>
      <c r="E564" t="n">
        <v>0</v>
      </c>
    </row>
    <row r="565">
      <c r="A565" t="inlineStr">
        <is>
          <t>us-gaap:RevenueFromContractWithCustomerExcludingAssessedTax</t>
        </is>
      </c>
      <c r="B565" t="n">
        <v>15580</v>
      </c>
      <c r="C565" t="n">
        <v>13260</v>
      </c>
      <c r="E565" t="n">
        <v>0</v>
      </c>
    </row>
    <row r="566">
      <c r="A566" t="inlineStr">
        <is>
          <t>us-gaap:RevenueFromContractWithCustomerExcludingAssessedTax</t>
        </is>
      </c>
      <c r="B566" t="n">
        <v>19570</v>
      </c>
      <c r="C566" t="n">
        <v>17516</v>
      </c>
      <c r="E566" t="n">
        <v>0</v>
      </c>
    </row>
    <row r="567">
      <c r="A567" t="inlineStr">
        <is>
          <t>us-gaap:RevenueFromContractWithCustomerExcludingAssessedTax</t>
        </is>
      </c>
      <c r="B567" t="n">
        <v>180395</v>
      </c>
      <c r="C567" t="n">
        <v>155726</v>
      </c>
      <c r="E567" t="n">
        <v>0</v>
      </c>
    </row>
    <row r="568">
      <c r="A568" t="inlineStr">
        <is>
          <t>us-gaap:RevenueFromContractWithCustomerExcludingAssessedTax</t>
        </is>
      </c>
      <c r="B568" t="n">
        <v>92544</v>
      </c>
      <c r="C568" t="n">
        <v>78850</v>
      </c>
      <c r="E568" t="n">
        <v>0</v>
      </c>
    </row>
    <row r="569">
      <c r="A569" t="inlineStr">
        <is>
          <t>us-gaap:RevenueFromContractWithCustomerExcludingAssessedTax</t>
        </is>
      </c>
      <c r="B569" t="n">
        <v>87851</v>
      </c>
      <c r="C569" t="n">
        <v>76876</v>
      </c>
      <c r="E569" t="n">
        <v>0</v>
      </c>
    </row>
    <row r="570">
      <c r="A570" t="inlineStr">
        <is>
          <t>us-gaap:RevenueFromContractWithCustomerExcludingAssessedTax</t>
        </is>
      </c>
      <c r="B570" t="n">
        <v>3490</v>
      </c>
      <c r="C570" t="n">
        <v>4160</v>
      </c>
      <c r="E570" t="n">
        <v>0</v>
      </c>
    </row>
    <row r="571">
      <c r="A571" t="inlineStr">
        <is>
          <t>us-gaap:RevenueFromContractWithCustomerExcludingAssessedTax</t>
        </is>
      </c>
      <c r="B571" t="n">
        <v>4762</v>
      </c>
      <c r="C571" t="n">
        <v>3951</v>
      </c>
      <c r="E571" t="n">
        <v>0</v>
      </c>
    </row>
    <row r="572">
      <c r="A572" t="inlineStr">
        <is>
          <t>us-gaap:RevenueFromContractWithCustomerExcludingAssessedTax</t>
        </is>
      </c>
      <c r="B572" t="n">
        <v>5722</v>
      </c>
      <c r="C572" t="n">
        <v>5883</v>
      </c>
      <c r="E572" t="n">
        <v>0</v>
      </c>
    </row>
    <row r="573">
      <c r="A573" t="inlineStr">
        <is>
          <t>us-gaap:RevenueFromContractWithCustomerExcludingAssessedTax</t>
        </is>
      </c>
      <c r="B573" t="n">
        <v>16481</v>
      </c>
      <c r="C573" t="n">
        <v>11975</v>
      </c>
      <c r="E573" t="n">
        <v>0</v>
      </c>
    </row>
    <row r="574">
      <c r="A574" t="inlineStr">
        <is>
          <t>us-gaap:RevenueFromContractWithCustomerExcludingAssessedTax</t>
        </is>
      </c>
      <c r="B574" t="n">
        <v>12121</v>
      </c>
      <c r="C574" t="n">
        <v>11120</v>
      </c>
      <c r="E574" t="n">
        <v>1</v>
      </c>
    </row>
    <row r="575">
      <c r="A575" t="inlineStr">
        <is>
          <t>us-gaap:RevenueFromContractWithCustomerExcludingAssessedTax</t>
        </is>
      </c>
      <c r="B575" t="n">
        <v>100.6</v>
      </c>
      <c r="C575" t="n">
        <v>81.3</v>
      </c>
      <c r="E575" t="n">
        <v>0</v>
      </c>
    </row>
    <row r="576">
      <c r="A576" t="inlineStr">
        <is>
          <t>us-gaap:RevenueFromContractWithCustomerExcludingAssessedTax</t>
        </is>
      </c>
      <c r="B576" t="n">
        <v>40528</v>
      </c>
      <c r="C576" t="n">
        <v>35912</v>
      </c>
      <c r="E576" t="n">
        <v>1</v>
      </c>
    </row>
    <row r="577">
      <c r="A577" t="inlineStr">
        <is>
          <t>us-gaap:RevenueFromContractWithCustomerExcludingAssessedTax</t>
        </is>
      </c>
      <c r="B577" t="n">
        <v>33</v>
      </c>
      <c r="C577" t="n">
        <v>111</v>
      </c>
      <c r="E577" t="n">
        <v>1</v>
      </c>
    </row>
    <row r="578">
      <c r="A578" t="inlineStr">
        <is>
          <t>us-gaap:RevenueFromContractWithCustomerExcludingAssessedTax</t>
        </is>
      </c>
      <c r="B578" t="n">
        <v>9407</v>
      </c>
      <c r="C578" t="n">
        <v>9158</v>
      </c>
      <c r="E578" t="n">
        <v>1</v>
      </c>
    </row>
    <row r="579">
      <c r="A579" t="inlineStr">
        <is>
          <t>us-gaap:RevenueFromContractWithCustomerExcludingAssessedTax</t>
        </is>
      </c>
      <c r="B579" t="n">
        <v>71093</v>
      </c>
      <c r="C579" t="n">
        <v>58007</v>
      </c>
      <c r="E579" t="n">
        <v>0</v>
      </c>
    </row>
    <row r="580">
      <c r="A580" t="inlineStr">
        <is>
          <t>us-gaap:RevenueFromContractWithCustomerExcludingAssessedTax</t>
        </is>
      </c>
      <c r="B580" t="n">
        <v>16758</v>
      </c>
      <c r="C580" t="n">
        <v>15449</v>
      </c>
      <c r="E580" t="n">
        <v>0</v>
      </c>
    </row>
    <row r="581">
      <c r="A581" t="inlineStr">
        <is>
          <t>us-gaap:RevenueFromContractWithCustomerExcludingAssessedTax</t>
        </is>
      </c>
      <c r="B581" t="n">
        <v>51556</v>
      </c>
      <c r="C581" t="n">
        <v>47846</v>
      </c>
      <c r="E581" t="n">
        <v>0</v>
      </c>
    </row>
    <row r="582">
      <c r="A582" t="inlineStr">
        <is>
          <t>us-gaap:RevenueFromContractWithCustomerExcludingAssessedTax</t>
        </is>
      </c>
      <c r="B582" t="n">
        <v>128839</v>
      </c>
      <c r="C582" t="n">
        <v>107880</v>
      </c>
      <c r="E582" t="n">
        <v>0</v>
      </c>
    </row>
    <row r="583">
      <c r="A583" t="inlineStr">
        <is>
          <t>us-gaap:RevenueFromContractWithCustomerExcludingAssessedTax</t>
        </is>
      </c>
      <c r="B583" t="n">
        <v>76847</v>
      </c>
      <c r="C583" t="n">
        <v>63914</v>
      </c>
      <c r="E583" t="n">
        <v>0</v>
      </c>
    </row>
    <row r="584">
      <c r="A584" t="inlineStr">
        <is>
          <t>us-gaap:RevenueFromContractWithCustomerExcludingAssessedTax</t>
        </is>
      </c>
      <c r="B584" t="n">
        <v>46137</v>
      </c>
      <c r="C584" t="n">
        <v>40829</v>
      </c>
      <c r="E584" t="n">
        <v>0</v>
      </c>
    </row>
    <row r="585">
      <c r="A585" t="inlineStr">
        <is>
          <t>us-gaap:RevenueFromContractWithCustomerExcludingAssessedTax</t>
        </is>
      </c>
      <c r="B585" t="n">
        <v>57411</v>
      </c>
      <c r="C585" t="n">
        <v>50983</v>
      </c>
      <c r="E585" t="n">
        <v>0</v>
      </c>
    </row>
    <row r="586">
      <c r="A586" t="inlineStr">
        <is>
          <t>us-gaap:RevenueFromContractWithCustomerExcludingAssessedTax</t>
        </is>
      </c>
      <c r="B586" t="n">
        <v>12121</v>
      </c>
      <c r="C586" t="n">
        <v>11236</v>
      </c>
      <c r="E586" t="n">
        <v>1</v>
      </c>
    </row>
    <row r="587">
      <c r="A587" t="inlineStr">
        <is>
          <t>us-gaap:RevenueFromContractWithCustomerExcludingAssessedTax</t>
        </is>
      </c>
      <c r="B587" t="n">
        <v>40528</v>
      </c>
      <c r="C587" t="n">
        <v>35823</v>
      </c>
      <c r="E587" t="n">
        <v>1</v>
      </c>
    </row>
    <row r="588">
      <c r="A588" t="inlineStr">
        <is>
          <t>us-gaap:RevenueFromContractWithCustomerExcludingAssessedTax</t>
        </is>
      </c>
      <c r="B588" t="n">
        <v>33</v>
      </c>
      <c r="C588" t="n">
        <v>4135</v>
      </c>
      <c r="E588" t="n">
        <v>1</v>
      </c>
    </row>
    <row r="589">
      <c r="A589" t="inlineStr">
        <is>
          <t>us-gaap:RevenueFromContractWithCustomerExcludingAssessedTax</t>
        </is>
      </c>
      <c r="B589" t="n">
        <v>9407</v>
      </c>
      <c r="C589" t="n">
        <v>9196</v>
      </c>
      <c r="E589" t="n">
        <v>1</v>
      </c>
    </row>
    <row r="590">
      <c r="A590" t="inlineStr">
        <is>
          <t>us-gaap:RightOfUseAssetObtainedInExchangeForFinanceLeaseLiability</t>
        </is>
      </c>
      <c r="B590" t="n">
        <v>3421</v>
      </c>
      <c r="C590" t="n">
        <v>1044</v>
      </c>
      <c r="E590" t="n">
        <v>0</v>
      </c>
    </row>
    <row r="591">
      <c r="A591" t="inlineStr">
        <is>
          <t>us-gaap:RightOfUseAssetObtainedInExchangeForFinanceLeaseLiability</t>
        </is>
      </c>
      <c r="B591" t="n">
        <v>6921</v>
      </c>
      <c r="C591" t="n">
        <v>2253</v>
      </c>
      <c r="E591" t="n">
        <v>0</v>
      </c>
    </row>
    <row r="592">
      <c r="A592" t="inlineStr">
        <is>
          <t>us-gaap:RightOfUseAssetObtainedInExchangeForOperatingLeaseLiability</t>
        </is>
      </c>
      <c r="B592" t="n">
        <v>1831</v>
      </c>
      <c r="C592" t="n">
        <v>663</v>
      </c>
      <c r="E592" t="n">
        <v>0</v>
      </c>
    </row>
    <row r="593">
      <c r="A593" t="inlineStr">
        <is>
          <t>us-gaap:RightOfUseAssetObtainedInExchangeForOperatingLeaseLiability</t>
        </is>
      </c>
      <c r="B593" t="n">
        <v>4482</v>
      </c>
      <c r="C593" t="n">
        <v>2377</v>
      </c>
      <c r="E593" t="n">
        <v>0</v>
      </c>
    </row>
    <row r="594">
      <c r="A594" t="inlineStr">
        <is>
          <t>us-gaap:SellingAndMarketingExpense</t>
        </is>
      </c>
      <c r="B594" t="n">
        <v>6207</v>
      </c>
      <c r="C594" t="n">
        <v>5750</v>
      </c>
      <c r="E594" t="n">
        <v>0</v>
      </c>
    </row>
    <row r="595">
      <c r="A595" t="inlineStr">
        <is>
          <t>us-gaap:SellingAndMarketingExpense</t>
        </is>
      </c>
      <c r="B595" t="n">
        <v>17640</v>
      </c>
      <c r="C595" t="n">
        <v>16555</v>
      </c>
      <c r="E595" t="n">
        <v>0</v>
      </c>
    </row>
    <row r="596">
      <c r="A596" t="inlineStr">
        <is>
          <t>us-gaap:StockRepurchasedDuringPeriodShares</t>
        </is>
      </c>
      <c r="B596" t="n">
        <v>7</v>
      </c>
      <c r="C596" t="n">
        <v>18</v>
      </c>
      <c r="E596" t="n">
        <v>1</v>
      </c>
    </row>
    <row r="597">
      <c r="A597" t="inlineStr">
        <is>
          <t>us-gaap:StockRepurchasedDuringPeriodShares</t>
        </is>
      </c>
      <c r="B597" t="n">
        <v>25</v>
      </c>
      <c r="C597" t="n">
        <v>55</v>
      </c>
      <c r="E597" t="n">
        <v>0</v>
      </c>
    </row>
    <row r="598">
      <c r="A598" t="inlineStr">
        <is>
          <t>us-gaap:StockRepurchasedDuringPeriodValue</t>
        </is>
      </c>
      <c r="B598" t="n">
        <v>2800</v>
      </c>
      <c r="C598" t="n">
        <v>4600</v>
      </c>
      <c r="E598" t="n">
        <v>0</v>
      </c>
    </row>
    <row r="599">
      <c r="A599" t="inlineStr">
        <is>
          <t>us-gaap:StockRepurchasedDuringPeriodValue</t>
        </is>
      </c>
      <c r="B599" t="n">
        <v>1512</v>
      </c>
      <c r="C599" t="n">
        <v>1133</v>
      </c>
      <c r="E599" t="n">
        <v>0</v>
      </c>
    </row>
    <row r="600">
      <c r="A600" t="inlineStr">
        <is>
          <t>us-gaap:StockRepurchasedDuringPeriodValue</t>
        </is>
      </c>
      <c r="B600" t="n">
        <v>2709</v>
      </c>
      <c r="C600" t="n">
        <v>4380</v>
      </c>
      <c r="E600" t="n">
        <v>0</v>
      </c>
    </row>
    <row r="601">
      <c r="A601" t="inlineStr">
        <is>
          <t>us-gaap:StockRepurchasedDuringPeriodValue</t>
        </is>
      </c>
      <c r="B601" t="n">
        <v>9160</v>
      </c>
      <c r="C601" t="n">
        <v>13800</v>
      </c>
      <c r="E601" t="n">
        <v>0</v>
      </c>
    </row>
    <row r="602">
      <c r="A602" t="inlineStr">
        <is>
          <t>us-gaap:StockRepurchasedDuringPeriodValue</t>
        </is>
      </c>
      <c r="B602" t="n">
        <v>4213</v>
      </c>
      <c r="C602" t="n">
        <v>3394</v>
      </c>
      <c r="E602" t="n">
        <v>1</v>
      </c>
    </row>
    <row r="603">
      <c r="A603" t="inlineStr">
        <is>
          <t>us-gaap:StockRepurchasedDuringPeriodValue</t>
        </is>
      </c>
      <c r="B603" t="n">
        <v>8836</v>
      </c>
      <c r="C603" t="n">
        <v>13151</v>
      </c>
      <c r="E603" t="n">
        <v>0</v>
      </c>
    </row>
    <row r="604">
      <c r="A604" t="inlineStr">
        <is>
          <t>us-gaap:StockholdersEquityOther</t>
        </is>
      </c>
      <c r="B604" t="n">
        <v>-182</v>
      </c>
      <c r="C604" t="n">
        <v>1</v>
      </c>
      <c r="E604" t="n">
        <v>1</v>
      </c>
    </row>
    <row r="605">
      <c r="A605" t="inlineStr">
        <is>
          <t>us-gaap:WeightedAverageNumberOfDilutedSharesOutstanding</t>
        </is>
      </c>
      <c r="B605" t="n">
        <v>7472</v>
      </c>
      <c r="C605" t="n">
        <v>7464</v>
      </c>
      <c r="E605" t="n">
        <v>0</v>
      </c>
    </row>
    <row r="606">
      <c r="A606" t="inlineStr">
        <is>
          <t>us-gaap:WeightedAverageNumberOfDilutedSharesOutstanding</t>
        </is>
      </c>
      <c r="B606" t="n">
        <v>7467</v>
      </c>
      <c r="C606" t="n">
        <v>7474</v>
      </c>
      <c r="E606" t="n">
        <v>0</v>
      </c>
    </row>
    <row r="607">
      <c r="A607" t="inlineStr">
        <is>
          <t>us-gaap:WeightedAverageNumberOfSharesOutstandingBasic</t>
        </is>
      </c>
      <c r="B607" t="n">
        <v>7431</v>
      </c>
      <c r="C607" t="n">
        <v>7441</v>
      </c>
      <c r="E607" t="n">
        <v>1</v>
      </c>
    </row>
    <row r="608">
      <c r="A608" t="inlineStr">
        <is>
          <t>us-gaap:WeightedAverageNumberOfSharesOutstandingBasic</t>
        </is>
      </c>
      <c r="B608" t="n">
        <v>7431</v>
      </c>
      <c r="C608" t="n">
        <v>7450</v>
      </c>
      <c r="E608" t="n">
        <v>1</v>
      </c>
    </row>
    <row r="609"/>
    <row r="610"/>
    <row r="611"/>
    <row r="612"/>
    <row r="613"/>
    <row r="614">
      <c r="A614" s="12" t="n"/>
      <c r="B614" s="12" t="n"/>
      <c r="C614" s="12" t="n"/>
    </row>
    <row r="615">
      <c r="A615" s="12" t="n"/>
      <c r="B615" s="12" t="n"/>
      <c r="C615" s="12" t="n"/>
    </row>
    <row r="616">
      <c r="A616" s="12" t="n"/>
      <c r="B616" s="12" t="n"/>
      <c r="C616" s="12" t="n"/>
    </row>
    <row r="617"/>
    <row r="618">
      <c r="A618" s="12" t="n"/>
      <c r="B618" s="12" t="n"/>
      <c r="C618" s="12" t="n"/>
    </row>
    <row r="619">
      <c r="A619" s="12" t="n"/>
      <c r="B619" s="12" t="n"/>
      <c r="C619" s="12" t="n"/>
    </row>
    <row r="620">
      <c r="A620" s="12" t="n"/>
      <c r="B620" s="12" t="n"/>
      <c r="C620" s="12" t="n"/>
    </row>
    <row r="621">
      <c r="A621" s="12" t="n"/>
      <c r="B621" s="12" t="n"/>
      <c r="C621" s="12" t="n"/>
    </row>
    <row r="622"/>
    <row r="623">
      <c r="A623" s="12" t="n"/>
      <c r="B623" s="12" t="n"/>
      <c r="C623" s="12" t="n"/>
    </row>
    <row r="624">
      <c r="A624" s="12" t="n"/>
      <c r="B624" s="12" t="n"/>
      <c r="C624" s="12" t="n"/>
    </row>
    <row r="625">
      <c r="A625" s="12" t="n"/>
      <c r="B625" s="12" t="n"/>
      <c r="C625" s="12" t="n"/>
    </row>
    <row r="626">
      <c r="A626" s="12" t="n"/>
      <c r="B626" s="12" t="n"/>
      <c r="C626" s="12" t="n"/>
    </row>
    <row r="627">
      <c r="A627" s="12" t="n"/>
      <c r="B627" s="12" t="n"/>
      <c r="C627" s="12" t="n"/>
    </row>
    <row r="628">
      <c r="A628" s="12" t="n"/>
      <c r="B628" s="12" t="n"/>
      <c r="C628" s="12" t="n"/>
    </row>
    <row r="629">
      <c r="A629" s="12" t="n"/>
      <c r="B629" s="12" t="n"/>
      <c r="C629" s="12" t="n"/>
    </row>
    <row r="630">
      <c r="A630" s="12" t="n"/>
      <c r="B630" s="12" t="n"/>
      <c r="C630" s="12" t="n"/>
    </row>
    <row r="631">
      <c r="A631" s="12" t="n"/>
      <c r="B631" s="12" t="n"/>
      <c r="C631" s="12" t="n"/>
    </row>
    <row r="632">
      <c r="A632" s="12" t="n"/>
      <c r="B632" s="12" t="n"/>
      <c r="C632" s="12" t="n"/>
    </row>
    <row r="633">
      <c r="A633" s="12" t="n"/>
      <c r="B633" s="12" t="n"/>
      <c r="C633" s="12" t="n"/>
    </row>
    <row r="634"/>
    <row r="635"/>
    <row r="636"/>
    <row r="637">
      <c r="A637" s="12" t="n"/>
      <c r="B637" s="12" t="n"/>
      <c r="C637" s="12" t="n"/>
    </row>
    <row r="638"/>
    <row r="639"/>
    <row r="640"/>
    <row r="641"/>
    <row r="642">
      <c r="A642" s="12" t="n"/>
      <c r="B642" s="12" t="n"/>
      <c r="C642" s="12" t="n"/>
    </row>
    <row r="643">
      <c r="A643" s="12" t="n"/>
      <c r="B643" s="12" t="n"/>
      <c r="C643" s="12" t="n"/>
    </row>
    <row r="644">
      <c r="A644" s="12" t="n"/>
      <c r="B644" s="12" t="n"/>
      <c r="C644" s="12" t="n"/>
    </row>
    <row r="645"/>
    <row r="646"/>
    <row r="647"/>
    <row r="648"/>
    <row r="649">
      <c r="A649" s="12" t="n"/>
      <c r="B649" s="12" t="n"/>
      <c r="C649" s="12" t="n"/>
    </row>
    <row r="650"/>
    <row r="651"/>
    <row r="652">
      <c r="A652" s="12" t="n"/>
      <c r="B652" s="12" t="n"/>
      <c r="C652" s="12" t="n"/>
    </row>
    <row r="653">
      <c r="A653" s="12" t="n"/>
      <c r="B653" s="12" t="n"/>
      <c r="C653" s="12" t="n"/>
    </row>
    <row r="654">
      <c r="A654" s="12" t="n"/>
      <c r="B654" s="12" t="n"/>
      <c r="C654" s="12" t="n"/>
    </row>
    <row r="655">
      <c r="A655" s="12" t="n"/>
      <c r="B655" s="12" t="n"/>
      <c r="C655" s="12" t="n"/>
    </row>
    <row r="656">
      <c r="A656" s="12" t="n"/>
      <c r="B656" s="12" t="n"/>
      <c r="C656" s="12" t="n"/>
    </row>
    <row r="657">
      <c r="A657" s="12" t="n"/>
      <c r="B657" s="12" t="n"/>
      <c r="C657" s="12" t="n"/>
    </row>
    <row r="658">
      <c r="A658" s="12" t="n"/>
      <c r="B658" s="12" t="n"/>
      <c r="C658" s="12" t="n"/>
    </row>
    <row r="659">
      <c r="A659" s="12" t="n"/>
      <c r="B659" s="12" t="n"/>
      <c r="C659" s="12" t="n"/>
    </row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>
      <c r="A708" s="12" t="n"/>
      <c r="B708" s="12" t="n"/>
      <c r="C708" s="12" t="n"/>
    </row>
    <row r="709"/>
    <row r="710"/>
    <row r="711"/>
    <row r="712">
      <c r="A712" s="12" t="n"/>
      <c r="B712" s="12" t="n"/>
      <c r="C712" s="12" t="n"/>
    </row>
    <row r="713">
      <c r="A713" s="12" t="n"/>
      <c r="B713" s="12" t="n"/>
      <c r="C713" s="12" t="n"/>
    </row>
    <row r="714"/>
    <row r="715"/>
    <row r="716">
      <c r="A716" s="12" t="n"/>
      <c r="B716" s="12" t="n"/>
      <c r="C716" s="12" t="n"/>
    </row>
    <row r="717">
      <c r="A717" s="12" t="n"/>
      <c r="B717" s="12" t="n"/>
      <c r="C717" s="12" t="n"/>
    </row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</sheetData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E51"/>
  <sheetViews>
    <sheetView zoomScaleNormal="100" workbookViewId="0">
      <selection activeCell="C46" sqref="C46"/>
    </sheetView>
  </sheetViews>
  <sheetFormatPr baseColWidth="10" defaultColWidth="8.83203125" defaultRowHeight="15" outlineLevelCol="0"/>
  <cols>
    <col width="10.6640625" bestFit="1" customWidth="1" min="1" max="1"/>
    <col width="5.1640625" customWidth="1" min="2" max="2"/>
    <col width="96.83203125" bestFit="1" customWidth="1" min="3" max="3"/>
  </cols>
  <sheetData>
    <row r="1">
      <c r="A1" s="1" t="n"/>
    </row>
    <row r="2">
      <c r="C2" s="31" t="inlineStr">
        <is>
          <t>IF NO MACRO FOUND:</t>
        </is>
      </c>
    </row>
    <row r="3">
      <c r="C3" t="inlineStr">
        <is>
          <t>Extract file from zip file.</t>
        </is>
      </c>
    </row>
    <row r="4">
      <c r="C4" t="inlineStr">
        <is>
          <t>Right-click the .xlsm file &gt; Properties &gt; Unblock &gt; Open</t>
        </is>
      </c>
    </row>
    <row r="6">
      <c r="A6" s="1" t="n"/>
      <c r="C6" s="31" t="inlineStr">
        <is>
          <t>MACRO NOTES:</t>
        </is>
      </c>
    </row>
    <row r="7">
      <c r="A7" s="1" t="n"/>
      <c r="C7" t="inlineStr">
        <is>
          <t>• Macro skips "1" values to preserve formulas like (x/y - 1)</t>
        </is>
      </c>
      <c r="E7" s="4" t="n"/>
    </row>
    <row r="8">
      <c r="A8" s="1" t="n"/>
      <c r="C8" t="inlineStr">
        <is>
          <t>• Avoid overwriting cells with hardcoded constants (e.g., /365)</t>
        </is>
      </c>
      <c r="E8" s="3" t="n"/>
    </row>
    <row r="9">
      <c r="A9" s="1" t="n"/>
      <c r="C9" t="inlineStr">
        <is>
          <t>• If no match, macro inserts "0" to preserve structure</t>
        </is>
      </c>
    </row>
    <row r="10">
      <c r="A10" s="1" t="n"/>
    </row>
    <row r="11">
      <c r="A11" s="1" t="n"/>
    </row>
    <row r="12">
      <c r="A12" s="1" t="n"/>
    </row>
    <row r="13">
      <c r="A13" s="1" t="n"/>
    </row>
    <row r="14">
      <c r="A14" s="1" t="n"/>
    </row>
    <row r="15">
      <c r="A15" s="1" t="n"/>
      <c r="C15" s="3" t="n"/>
    </row>
    <row r="16">
      <c r="A16" s="1" t="n"/>
      <c r="E16" s="3" t="n"/>
    </row>
    <row r="17">
      <c r="A17" s="1" t="n"/>
      <c r="B17" s="3" t="n"/>
      <c r="C17" s="3" t="n"/>
    </row>
    <row r="18">
      <c r="A18" s="1" t="n"/>
      <c r="C18" s="20" t="n"/>
    </row>
    <row r="19">
      <c r="A19" s="1" t="n"/>
      <c r="B19" s="3" t="n"/>
      <c r="C19" s="4" t="n"/>
    </row>
    <row r="20">
      <c r="A20" s="1" t="n"/>
      <c r="B20" s="3" t="n"/>
      <c r="C20" s="3" t="n"/>
    </row>
    <row r="21">
      <c r="A21" s="1" t="n"/>
    </row>
    <row r="22">
      <c r="A22" s="1" t="n"/>
      <c r="B22" s="3" t="n"/>
      <c r="C22" s="3" t="n"/>
    </row>
    <row r="23">
      <c r="A23" s="1" t="n"/>
      <c r="C23" s="20" t="n"/>
    </row>
    <row r="24">
      <c r="A24" s="1" t="n"/>
    </row>
    <row r="25">
      <c r="A25" s="1" t="n"/>
    </row>
    <row r="26">
      <c r="A26" s="1" t="n"/>
      <c r="C26" s="3" t="n"/>
    </row>
    <row r="28">
      <c r="B28" s="3" t="n"/>
      <c r="C28" s="3" t="n"/>
    </row>
    <row r="31">
      <c r="B31" s="3" t="n"/>
      <c r="C31" s="3" t="n"/>
    </row>
    <row r="33">
      <c r="B33" s="3" t="n"/>
      <c r="C33" s="3" t="n"/>
    </row>
    <row r="37">
      <c r="B37" s="3" t="n"/>
      <c r="C37" s="3" t="n"/>
    </row>
    <row r="40">
      <c r="C40" s="3" t="n"/>
    </row>
    <row r="41">
      <c r="C41" s="20" t="n"/>
    </row>
    <row r="43">
      <c r="C43" s="3" t="n"/>
    </row>
    <row r="45">
      <c r="B45" s="3" t="n"/>
    </row>
    <row r="46">
      <c r="B46" s="3" t="n"/>
    </row>
    <row r="47">
      <c r="B47" s="3" t="n"/>
    </row>
    <row r="48">
      <c r="B48" s="3" t="n"/>
    </row>
    <row r="49">
      <c r="B49" s="3" t="n"/>
    </row>
    <row r="51">
      <c r="B51" s="3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2:B9"/>
  <sheetViews>
    <sheetView zoomScale="130" zoomScaleNormal="130" workbookViewId="0">
      <selection activeCell="B8" sqref="B8"/>
    </sheetView>
  </sheetViews>
  <sheetFormatPr baseColWidth="10" defaultColWidth="8.83203125" defaultRowHeight="15" outlineLevelCol="0"/>
  <cols>
    <col width="42.83203125" bestFit="1" customWidth="1" min="2" max="2"/>
  </cols>
  <sheetData>
    <row r="2">
      <c r="B2" s="2" t="inlineStr">
        <is>
          <t>Financial Model Updater</t>
        </is>
      </c>
    </row>
    <row r="3">
      <c r="B3" t="inlineStr">
        <is>
          <t>© 2025 Henry Chien LLC - All rights reserved</t>
        </is>
      </c>
    </row>
    <row r="4">
      <c r="B4" s="2" t="inlineStr">
        <is>
          <t>henrychien.com</t>
        </is>
      </c>
    </row>
    <row r="6">
      <c r="B6" s="2">
        <f>HYPERLINK("mailto:support@henrychien.com?subject=Feedback on Model Updater","Send us feedback or report an issue!")</f>
        <v/>
      </c>
    </row>
    <row r="8">
      <c r="B8" s="2" t="inlineStr">
        <is>
          <t>Github Repository</t>
        </is>
      </c>
    </row>
    <row r="9">
      <c r="B9" t="inlineStr">
        <is>
          <t>See .bas files for macro source code</t>
        </is>
      </c>
    </row>
  </sheetData>
  <hyperlinks>
    <hyperlink xmlns:r="http://schemas.openxmlformats.org/officeDocument/2006/relationships" ref="B2" display="https://www.financialmodelupdater.com/" r:id="rId1"/>
    <hyperlink xmlns:r="http://schemas.openxmlformats.org/officeDocument/2006/relationships" ref="B4" r:id="rId2"/>
    <hyperlink xmlns:r="http://schemas.openxmlformats.org/officeDocument/2006/relationships" ref="B8" r:id="rId3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Henry Chien</dc:creator>
  <dcterms:created xmlns:dcterms="http://purl.org/dc/terms/" xmlns:xsi="http://www.w3.org/2001/XMLSchema-instance" xsi:type="dcterms:W3CDTF">2019-01-04T18:20:31Z</dcterms:created>
  <dcterms:modified xmlns:dcterms="http://purl.org/dc/terms/" xmlns:xsi="http://www.w3.org/2001/XMLSchema-instance" xsi:type="dcterms:W3CDTF">2026-02-03T04:38:23Z</dcterms:modified>
  <cp:lastModifiedBy>Henry Chien</cp:lastModifiedBy>
</cp:coreProperties>
</file>

<file path=docProps/custom.xml><?xml version="1.0" encoding="utf-8"?>
<Properties xmlns="http://schemas.openxmlformats.org/officeDocument/2006/custom-properties">
  <property name="{A44787D4-0540-4523-9961-78E4036D8C6D}" fmtid="{D5CDD505-2E9C-101B-9397-08002B2CF9AE}" pid="2">
    <vt:lpwstr xmlns:vt="http://schemas.openxmlformats.org/officeDocument/2006/docPropsVTypes">{98E2597A-3EA7-454A-A794-C260C2621745}</vt:lpwstr>
  </property>
</Properties>
</file>